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alexandershalbaev/Downloads/"/>
    </mc:Choice>
  </mc:AlternateContent>
  <xr:revisionPtr revIDLastSave="0" documentId="8_{E7496C62-9E74-FD47-BCFC-CD37848AF244}" xr6:coauthVersionLast="47" xr6:coauthVersionMax="47" xr10:uidLastSave="{00000000-0000-0000-0000-000000000000}"/>
  <bookViews>
    <workbookView xWindow="0" yWindow="740" windowWidth="29400" windowHeight="17080" activeTab="1" xr2:uid="{005B74A9-BD63-8741-A5FC-73346242C1D4}"/>
  </bookViews>
  <sheets>
    <sheet name="Регрессионный анализ" sheetId="1" r:id="rId1"/>
    <sheet name="Парабола" sheetId="3" r:id="rId2"/>
    <sheet name="Гипербола" sheetId="4" r:id="rId3"/>
    <sheet name="Корневая" sheetId="5" r:id="rId4"/>
    <sheet name="Степенная" sheetId="6" r:id="rId5"/>
    <sheet name="Показательная" sheetId="7" r:id="rId6"/>
    <sheet name="Экспоненциальная" sheetId="8" r:id="rId7"/>
    <sheet name="Сравнение"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6" i="3" l="1"/>
  <c r="O118" i="6"/>
  <c r="M118" i="6"/>
  <c r="O117" i="6"/>
  <c r="M117" i="6"/>
  <c r="I20" i="6"/>
  <c r="N115" i="6"/>
  <c r="N114" i="6"/>
  <c r="N113" i="6"/>
  <c r="O111"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26" i="6"/>
  <c r="N111" i="6"/>
  <c r="M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I111"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26" i="8"/>
  <c r="I111"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26" i="7"/>
  <c r="I111"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4" i="6"/>
  <c r="I95" i="6"/>
  <c r="I96" i="6"/>
  <c r="I97" i="6"/>
  <c r="I102" i="6"/>
  <c r="I103" i="6"/>
  <c r="I104" i="6"/>
  <c r="I105" i="6"/>
  <c r="I110" i="6"/>
  <c r="I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I91" i="6" s="1"/>
  <c r="J92" i="6"/>
  <c r="I92" i="6" s="1"/>
  <c r="J93" i="6"/>
  <c r="I93" i="6" s="1"/>
  <c r="J94" i="6"/>
  <c r="J95" i="6"/>
  <c r="J96" i="6"/>
  <c r="J97" i="6"/>
  <c r="J98" i="6"/>
  <c r="I98" i="6" s="1"/>
  <c r="J99" i="6"/>
  <c r="I99" i="6" s="1"/>
  <c r="J100" i="6"/>
  <c r="I100" i="6" s="1"/>
  <c r="J101" i="6"/>
  <c r="I101" i="6" s="1"/>
  <c r="J102" i="6"/>
  <c r="J103" i="6"/>
  <c r="J104" i="6"/>
  <c r="J105" i="6"/>
  <c r="J106" i="6"/>
  <c r="I106" i="6" s="1"/>
  <c r="J107" i="6"/>
  <c r="I107" i="6" s="1"/>
  <c r="J108" i="6"/>
  <c r="I108" i="6" s="1"/>
  <c r="J109" i="6"/>
  <c r="I109" i="6" s="1"/>
  <c r="J110" i="6"/>
  <c r="J26" i="6"/>
  <c r="H113" i="5"/>
  <c r="H112" i="5"/>
  <c r="H111"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26" i="5"/>
  <c r="H113" i="4"/>
  <c r="H112" i="4"/>
  <c r="H111"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26" i="4"/>
  <c r="H114" i="3"/>
  <c r="H113" i="3"/>
  <c r="H112"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27" i="3"/>
  <c r="I24" i="7" l="1"/>
  <c r="I24" i="3"/>
  <c r="I23" i="8"/>
  <c r="I24" i="8"/>
  <c r="I23" i="7"/>
  <c r="J23" i="6"/>
  <c r="G6" i="8" l="1"/>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2" i="8"/>
  <c r="G6"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2" i="7"/>
  <c r="H6"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2" i="6"/>
  <c r="G6"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2" i="5"/>
  <c r="G6" i="4"/>
  <c r="G6" i="3"/>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3" i="4"/>
  <c r="A2" i="4"/>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2" i="3"/>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26" i="1"/>
  <c r="I26" i="1" s="1"/>
  <c r="K21" i="1"/>
  <c r="I21" i="1"/>
  <c r="I11" i="1"/>
  <c r="K11" i="1"/>
  <c r="G6" i="1"/>
  <c r="J26" i="1" l="1"/>
</calcChain>
</file>

<file path=xl/sharedStrings.xml><?xml version="1.0" encoding="utf-8"?>
<sst xmlns="http://schemas.openxmlformats.org/spreadsheetml/2006/main" count="400" uniqueCount="170">
  <si>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</si>
  <si>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</si>
  <si>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</si>
  <si>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</si>
  <si>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</si>
  <si>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</si>
  <si>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</si>
  <si>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</si>
  <si>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Регрессия</t>
  </si>
  <si>
    <t>Остаток</t>
  </si>
  <si>
    <t>Итого</t>
  </si>
  <si>
    <t>Y-пересечение</t>
  </si>
  <si>
    <t>df</t>
  </si>
  <si>
    <t>SS</t>
  </si>
  <si>
    <t>MS</t>
  </si>
  <si>
    <t>F</t>
  </si>
  <si>
    <t>Значимость F</t>
  </si>
  <si>
    <t>Коэффициенты</t>
  </si>
  <si>
    <t>t-статистика</t>
  </si>
  <si>
    <t>P-Значение</t>
  </si>
  <si>
    <t>Нижние 95%</t>
  </si>
  <si>
    <t>Верхние 95%</t>
  </si>
  <si>
    <t>Нижние 95,0%</t>
  </si>
  <si>
    <t>Верхние 95,0%</t>
  </si>
  <si>
    <t>Переменная X 1</t>
  </si>
  <si>
    <t>ВЫВОД ОСТАТКА</t>
  </si>
  <si>
    <t>Наблюдение</t>
  </si>
  <si>
    <t>Предсказанное Y</t>
  </si>
  <si>
    <t>Остатки</t>
  </si>
  <si>
    <t>&lt;</t>
  </si>
  <si>
    <t>t(факт)</t>
  </si>
  <si>
    <t>t(tab)</t>
  </si>
  <si>
    <t>&gt;</t>
  </si>
  <si>
    <t>Относительная ошибка</t>
  </si>
  <si>
    <t>Средняя ошибка аппроксимации</t>
  </si>
  <si>
    <t>Регион</t>
  </si>
  <si>
    <t>Чукотский автономный округ</t>
  </si>
  <si>
    <t>Ямало-Ненецкий автономный округ</t>
  </si>
  <si>
    <t>г. Москва</t>
  </si>
  <si>
    <t>Магаданская область</t>
  </si>
  <si>
    <t>Ненецкий автономный округ</t>
  </si>
  <si>
    <t>Камчатский край</t>
  </si>
  <si>
    <t>Сахалинская область</t>
  </si>
  <si>
    <t>Республика Саха (Якутия)</t>
  </si>
  <si>
    <t>Ханты-Мансийский автономный округ — Югра</t>
  </si>
  <si>
    <t>Тюменская область</t>
  </si>
  <si>
    <t>Мурманская область</t>
  </si>
  <si>
    <t>г. Санкт-Петербург</t>
  </si>
  <si>
    <t>Московская область</t>
  </si>
  <si>
    <t>Красноярский край</t>
  </si>
  <si>
    <t>Хабаровский край</t>
  </si>
  <si>
    <t>Приморский край</t>
  </si>
  <si>
    <t>Республика Коми</t>
  </si>
  <si>
    <t>Иркутская область</t>
  </si>
  <si>
    <t>Амурская область</t>
  </si>
  <si>
    <t>Архангельская область</t>
  </si>
  <si>
    <t>Забайкальский край</t>
  </si>
  <si>
    <t>Ленинградская область</t>
  </si>
  <si>
    <t>Свердловская область</t>
  </si>
  <si>
    <t>Еврейская автономная область</t>
  </si>
  <si>
    <t>Томская область</t>
  </si>
  <si>
    <t>Кемеровская область — Кузбасс</t>
  </si>
  <si>
    <t>Новосибирская область</t>
  </si>
  <si>
    <t>Республика Татарстан</t>
  </si>
  <si>
    <t>Пермский край</t>
  </si>
  <si>
    <t>Республика Карелия</t>
  </si>
  <si>
    <t>Калужская область</t>
  </si>
  <si>
    <t>Тульская область</t>
  </si>
  <si>
    <t>Республика Бурятия</t>
  </si>
  <si>
    <t>Республика Хакасия</t>
  </si>
  <si>
    <t>Вологодская область</t>
  </si>
  <si>
    <t>Челябинская область</t>
  </si>
  <si>
    <t>Краснодарский край</t>
  </si>
  <si>
    <t>Самарская область</t>
  </si>
  <si>
    <t>Нижегородская область</t>
  </si>
  <si>
    <t>Липецкая область</t>
  </si>
  <si>
    <t>Республика Башкортостан</t>
  </si>
  <si>
    <t>Удмуртская Республика</t>
  </si>
  <si>
    <t>Республика Тыва</t>
  </si>
  <si>
    <t>Калининградская область</t>
  </si>
  <si>
    <t>Ярославская область</t>
  </si>
  <si>
    <t>Белгородская область</t>
  </si>
  <si>
    <t>Омская область</t>
  </si>
  <si>
    <t>Курская область</t>
  </si>
  <si>
    <t>Владимирская область</t>
  </si>
  <si>
    <t>Тверская область</t>
  </si>
  <si>
    <t>Рязанская область</t>
  </si>
  <si>
    <t>Оренбургская область</t>
  </si>
  <si>
    <t>Республика Алтай</t>
  </si>
  <si>
    <t>Воронежская область</t>
  </si>
  <si>
    <t>Курганская область</t>
  </si>
  <si>
    <t>Новгородская область</t>
  </si>
  <si>
    <t>Астраханская область</t>
  </si>
  <si>
    <t>Ростовская область</t>
  </si>
  <si>
    <t>Волгоградская область</t>
  </si>
  <si>
    <t>Республика Марий Эл</t>
  </si>
  <si>
    <t>Чувашская Республика</t>
  </si>
  <si>
    <t>Смоленская область</t>
  </si>
  <si>
    <t>Ульяновская область</t>
  </si>
  <si>
    <t>Саратовская область</t>
  </si>
  <si>
    <t>Брянская область</t>
  </si>
  <si>
    <t>Кировская область</t>
  </si>
  <si>
    <t>Пензенская область</t>
  </si>
  <si>
    <t>Ставропольский край</t>
  </si>
  <si>
    <t>Республика Мордовия</t>
  </si>
  <si>
    <t>г. Севастополь</t>
  </si>
  <si>
    <t>Костромская область</t>
  </si>
  <si>
    <t>Республика Адыгея</t>
  </si>
  <si>
    <t>Орловская область</t>
  </si>
  <si>
    <t>Республика Крым</t>
  </si>
  <si>
    <t>Алтайский край</t>
  </si>
  <si>
    <t>Тамбовская область</t>
  </si>
  <si>
    <t>Псковская область</t>
  </si>
  <si>
    <t>Ивановская область</t>
  </si>
  <si>
    <t>Республика Калмыкия</t>
  </si>
  <si>
    <t>Карачаево-Черкесская Республика</t>
  </si>
  <si>
    <t>Республика Северная Осетия — Алания</t>
  </si>
  <si>
    <t>Кабардино-Балкарская Республика</t>
  </si>
  <si>
    <t>Республика Дагестан</t>
  </si>
  <si>
    <t>Чеченская Республика</t>
  </si>
  <si>
    <t>Республика Ингушетия</t>
  </si>
  <si>
    <t>Объем платных услуг на душу населения, руб. (X)</t>
  </si>
  <si>
    <t>Среднемесячная номинальная начисленная заработная плата, руб. (Y)</t>
  </si>
  <si>
    <t>Коэффициент детерминации R^2=0,4215 показывает, что на 42,15% вариация среднемесячной номинальной начисленной заработной платы объясняется вариацией объёма платных услуг на душу населения. Остальные 57,85% связаны с прочими неучтёнными факторами.</t>
  </si>
  <si>
    <t xml:space="preserve">С вероятностью 0,95 можно утверждать, что уравнение регрессии значимо. Модель достоверна.				</t>
  </si>
  <si>
    <t xml:space="preserve">С вероятностью 0,95 можно утверждать, что коэффициент b(регрессии) значим.				</t>
  </si>
  <si>
    <t>С вероятностью 0,95 можно утверждать, что коэффициент регрессии в генеральной совокупности находится в интервале от 0,386 до 0,652. При увеличении объёма платных услуг на душу населения на 10 тыс. руб. среднемесячная номинальная начисленная заработная плата увеличится в среднем не менее чем на 3862,23 руб. и не более чем на 6517,19 руб.</t>
  </si>
  <si>
    <t>Уравнение регрессии: y = 28878,29 + 0,52x</t>
  </si>
  <si>
    <t>Свободный член уравнения регрессии 28878,29 показывает, что при условном отсутствии объёма платных услуг на душу населения расчётное значение среднемесячной номинальной начисленной заработной платы составило бы 28 878,29 руб. Однако экономическая интерпретация данного показателя не имеет практического смысла, так как нулевое значение объёма платных услуг не соответствует фактическим значениям рассматриваемой выборки.</t>
  </si>
  <si>
    <t>Коэффициент регрессии 0,52 показывает, что при увеличении объёма платных услуг на душу населения на 1 руб. среднемесячная номинальная начисленная заработная плата в среднем увеличивается на 0,52 руб. Соответственно, при увеличении объёма платных услуг на 10 тыс. руб. заработная плата в среднем увеличивается на 5,2 тыс. руб.</t>
  </si>
  <si>
    <t>Факт. среднемесячная номинальная начисл. заработная плата, руб. (Y)</t>
  </si>
  <si>
    <t>F(tab)</t>
  </si>
  <si>
    <t>F(факт)</t>
  </si>
  <si>
    <t>Гипотеза исследования: между объёмом платных услуг на душу населения и среднемесячной номинальной начисленной заработной платой работников существует прямая статистически значимая связь: с увеличением объёма платных услуг на душу населения среднемесячная заработная плата в среднем возрастает.</t>
  </si>
  <si>
    <t>%</t>
  </si>
  <si>
    <t>Y</t>
  </si>
  <si>
    <t>X</t>
  </si>
  <si>
    <t>X^2</t>
  </si>
  <si>
    <t>1/X</t>
  </si>
  <si>
    <t>Корень (X)</t>
  </si>
  <si>
    <t>LN(X)</t>
  </si>
  <si>
    <t>LN(Y)</t>
  </si>
  <si>
    <t>Предсказанное LN(Y)</t>
  </si>
  <si>
    <t>Уравнение регрессии</t>
  </si>
  <si>
    <t>Коэффициент a</t>
  </si>
  <si>
    <t>Коэффициент b</t>
  </si>
  <si>
    <t>Коэф. C</t>
  </si>
  <si>
    <t>С вероятностью 0,95 можно утверждать, что уравнение регрессии значимо. Модель достоверна.</t>
  </si>
  <si>
    <t>Y предсказ</t>
  </si>
  <si>
    <t>|(Y-предсказ)/Y|*100</t>
  </si>
  <si>
    <t>|(Предсказ-Y)/Y|*100</t>
  </si>
  <si>
    <t>Прогноз</t>
  </si>
  <si>
    <t>(X-Xср)^2</t>
  </si>
  <si>
    <t>Xp</t>
  </si>
  <si>
    <t>Yp</t>
  </si>
  <si>
    <t>Se</t>
  </si>
  <si>
    <t>&lt;= Yp &lt;=</t>
  </si>
  <si>
    <t>руб.</t>
  </si>
  <si>
    <t>При среднемесячной номинальной начисленной заработной плате 96 816,63 руб. прогнозируемый объём платных услуг на душу населения составляет 76 190,87 руб. С вероятностью 95% фактическое значение объема платных услуг может находиться в пределах от 48 354,26 до 120 052,48 руб. Прогнозный интервал - широкий, значит есть существенная неопределённость индивид. прогноза. Модель пригодна для оценки ожидаемого уровня показателя, но её возможности для точного прогнозирования ограничены.</t>
  </si>
  <si>
    <t>Модель</t>
  </si>
  <si>
    <t>Уравнение</t>
  </si>
  <si>
    <t>R^2</t>
  </si>
  <si>
    <t>Парабола</t>
  </si>
  <si>
    <t>Гипербола</t>
  </si>
  <si>
    <t>Корневая</t>
  </si>
  <si>
    <t>Степенная</t>
  </si>
  <si>
    <t>Показательная</t>
  </si>
  <si>
    <t>Экспоненциальная</t>
  </si>
  <si>
    <t>&lt;0,05</t>
  </si>
  <si>
    <t>Все шесть построенных нелинейных моделей статистически значимы (Значимость F &lt; 0,05), то есть каждая из них достоверна. Сравнение проводилось по трём критериям: коэффициент детерминации R^2, F-критерий Фишера и средняя ошибка аппроксимации. Наибольший R^2 (0,50) и наибольшее значение F (83,91) имеет степенная модель; её ошибка аппроксимации (17,28%) практически не отличается от минимальной (17,23% у показательной и экспоненциальной). Показательная и экспоненциальная модели дают наименьшую ошибку, но их R^2 ниже (0,45), к тому же они описывают одну и ту же зависимость в разных формах. Гипербола показала наихудший результат (R^2= 0,31, ошибка = 22,71%). По совокупности критериев лучшей признана степенная модель:                                                                                                              Она объясняет 50% вариации Y, обладает наибольшей статистической надёжностью и удобной экономической интерпретацией: при росте X на 1% Y увеличивается в среднем на 0,662%.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</si>
</sst>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0_-;\-* #,##0_-;_-* &quot;-&quot;??_-;_-@_-"/>
    <numFmt numFmtId="165" formatCode="_-* #,##0.0000000000000000_-;\-* #,##0.0000000000000000_-;_-* &quot;-&quot;??_-;_-@_-"/>
    <numFmt numFmtId="166" formatCode="0.000"/>
    <numFmt numFmtId="167" formatCode="0.0000000000"/>
    <numFmt numFmtId="168" formatCode="0.0000000000000"/>
    <numFmt numFmtId="169" formatCode="0.0000000000000000000000000000000000000000000000000000000E+00"/>
    <numFmt numFmtId="170" formatCode="0.000000000000000000000000000000000000000000000000000000000000000000000E+00"/>
    <numFmt numFmtId="171" formatCode="0.000000000000000000000000000000000000000000000000000000000000000000000000E+00"/>
    <numFmt numFmtId="172" formatCode="_-* #,##0.00000000_-;\-* #,##0.00000000_-;_-* &quot;-&quot;??_-;_-@_-"/>
    <numFmt numFmtId="173" formatCode="_-* #,##0.00000000\ _₽_-;\-* #,##0.00000000\ _₽_-;_-* &quot;-&quot;????????\ _₽_-;_-@_-"/>
    <numFmt numFmtId="174" formatCode="_-* #,##0.00\ _₽_-;\-* #,##0.00\ _₽_-;_-* &quot;-&quot;??\ _₽_-;_-@_-"/>
    <numFmt numFmtId="175" formatCode="_-* #,##0.000000\ _₽_-;\-* #,##0.000000\ _₽_-;_-* &quot;-&quot;????????\ _₽_-;_-@_-"/>
    <numFmt numFmtId="176" formatCode="_-* #,##0.000000\ _₽_-;\-* #,##0.000000\ _₽_-;_-* &quot;-&quot;??????\ _₽_-;_-@_-"/>
  </numFmts>
  <fonts count="24">
    <font>
      <sz val="12"/>
      <color theme="1"/>
      <name val="Calibri"/>
      <family val="2"/>
      <charset val="204"/>
      <scheme val="minor"/>
    </font>
    <font>
      <sz val="12"/>
      <color theme="1"/>
      <name val="Calibri"/>
      <family val="2"/>
      <charset val="204"/>
      <scheme val="minor"/>
    </font>
    <font>
      <sz val="8"/>
      <name val="Calibri"/>
      <family val="2"/>
      <charset val="204"/>
      <scheme val="minor"/>
    </font>
    <font>
      <i/>
      <sz val="12"/>
      <color theme="1"/>
      <name val="Calibri"/>
      <family val="2"/>
      <charset val="204"/>
      <scheme val="minor"/>
    </font>
    <font>
      <sz val="12"/>
      <color rgb="FF000000"/>
      <name val="Calibri"/>
      <family val="2"/>
      <charset val="204"/>
      <scheme val="minor"/>
    </font>
    <font>
      <sz val="11"/>
      <color rgb="FF000000"/>
      <name val="Helvetica Neue"/>
      <family val="2"/>
    </font>
    <font>
      <b/>
      <i/>
      <sz val="12"/>
      <color theme="1"/>
      <name val="Calibri"/>
      <family val="2"/>
      <scheme val="minor"/>
    </font>
    <font>
      <b/>
      <sz val="12"/>
      <color theme="1"/>
      <name val="Calibri"/>
      <family val="2"/>
      <scheme val="minor"/>
    </font>
    <font>
      <sz val="11"/>
      <color rgb="FF000000"/>
      <name val="Times New Roman"/>
      <family val="1"/>
    </font>
    <font>
      <b/>
      <sz val="11"/>
      <name val="Times New Roman"/>
      <family val="1"/>
    </font>
    <font>
      <sz val="12"/>
      <color theme="1"/>
      <name val="Times New Roman"/>
      <family val="1"/>
    </font>
    <font>
      <sz val="10"/>
      <color theme="1"/>
      <name val="Calibri"/>
      <family val="2"/>
      <charset val="204"/>
      <scheme val="minor"/>
    </font>
    <font>
      <sz val="14"/>
      <color rgb="FF000000"/>
      <name val="-webkit-standard"/>
    </font>
    <font>
      <b/>
      <sz val="12"/>
      <color theme="1"/>
      <name val="Calibri"/>
      <family val="2"/>
      <charset val="204"/>
      <scheme val="minor"/>
    </font>
    <font>
      <b/>
      <sz val="11"/>
      <name val="Times New Roman"/>
      <family val="1"/>
      <charset val="204"/>
    </font>
    <font>
      <sz val="11"/>
      <color theme="1"/>
      <name val="Calibri"/>
      <family val="2"/>
      <charset val="204"/>
      <scheme val="minor"/>
    </font>
    <font>
      <b/>
      <sz val="12"/>
      <color rgb="FF000000"/>
      <name val="Calibri"/>
      <family val="2"/>
      <charset val="204"/>
      <scheme val="minor"/>
    </font>
    <font>
      <b/>
      <sz val="12"/>
      <color rgb="FF000000"/>
      <name val="Calibri"/>
      <family val="2"/>
      <scheme val="minor"/>
    </font>
    <font>
      <sz val="11"/>
      <color rgb="FF000000"/>
      <name val="Calibri"/>
      <family val="2"/>
      <charset val="204"/>
      <scheme val="minor"/>
    </font>
    <font>
      <sz val="12"/>
      <color theme="1"/>
      <name val="Calibri"/>
      <family val="2"/>
      <scheme val="minor"/>
    </font>
    <font>
      <sz val="12"/>
      <color rgb="FF000000"/>
      <name val="Calibri"/>
      <family val="2"/>
      <scheme val="minor"/>
    </font>
    <font>
      <i/>
      <sz val="12"/>
      <color rgb="FF000000"/>
      <name val="Calibri"/>
      <family val="2"/>
      <charset val="204"/>
      <scheme val="minor"/>
    </font>
    <font>
      <i/>
      <sz val="11"/>
      <name val="Times New Roman"/>
      <family val="1"/>
    </font>
    <font>
      <sz val="11"/>
      <color rgb="FF000000"/>
      <name val="Calibri"/>
      <family val="2"/>
      <scheme val="minor"/>
    </font>
  </fonts>
  <fills count="3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59999389629810485"/>
        <bgColor rgb="FF000000"/>
      </patternFill>
    </fill>
    <fill>
      <patternFill patternType="solid">
        <fgColor theme="5" tint="0.59999389629810485"/>
        <bgColor rgb="FF000000"/>
      </patternFill>
    </fill>
    <fill>
      <patternFill patternType="solid">
        <fgColor theme="9" tint="0.59999389629810485"/>
        <bgColor rgb="FF000000"/>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D0CECE"/>
        <bgColor rgb="FF000000"/>
      </patternFill>
    </fill>
    <fill>
      <patternFill patternType="solid">
        <fgColor theme="9" tint="0.79998168889431442"/>
        <bgColor indexed="64"/>
      </patternFill>
    </fill>
    <fill>
      <patternFill patternType="solid">
        <fgColor rgb="FFE2EFDA"/>
        <bgColor rgb="FF000000"/>
      </patternFill>
    </fill>
    <fill>
      <patternFill patternType="solid">
        <fgColor rgb="FFD9E1F2"/>
        <bgColor rgb="FF000000"/>
      </patternFill>
    </fill>
    <fill>
      <patternFill patternType="solid">
        <fgColor theme="5" tint="0.79998168889431442"/>
        <bgColor rgb="FF000000"/>
      </patternFill>
    </fill>
    <fill>
      <patternFill patternType="solid">
        <fgColor theme="6" tint="0.79998168889431442"/>
        <bgColor indexed="64"/>
      </patternFill>
    </fill>
    <fill>
      <patternFill patternType="solid">
        <fgColor theme="7" tint="0.79998168889431442"/>
        <bgColor rgb="FF000000"/>
      </patternFill>
    </fill>
    <fill>
      <patternFill patternType="solid">
        <fgColor theme="9" tint="0.79998168889431442"/>
        <bgColor rgb="FF000000"/>
      </patternFill>
    </fill>
    <fill>
      <patternFill patternType="solid">
        <fgColor theme="4" tint="0.79998168889431442"/>
        <bgColor rgb="FF000000"/>
      </patternFill>
    </fill>
    <fill>
      <patternFill patternType="solid">
        <fgColor theme="6" tint="0.79998168889431442"/>
        <bgColor rgb="FF000000"/>
      </patternFill>
    </fill>
    <fill>
      <patternFill patternType="solid">
        <fgColor theme="3" tint="0.79998168889431442"/>
        <bgColor indexed="64"/>
      </patternFill>
    </fill>
    <fill>
      <patternFill patternType="solid">
        <fgColor theme="3" tint="0.79998168889431442"/>
        <bgColor rgb="FF000000"/>
      </patternFill>
    </fill>
    <fill>
      <patternFill patternType="solid">
        <fgColor theme="5" tint="0.39997558519241921"/>
        <bgColor indexed="64"/>
      </patternFill>
    </fill>
    <fill>
      <patternFill patternType="solid">
        <fgColor theme="5"/>
        <bgColor indexed="64"/>
      </patternFill>
    </fill>
    <fill>
      <patternFill patternType="solid">
        <fgColor theme="7" tint="0.39997558519241921"/>
        <bgColor indexed="64"/>
      </patternFill>
    </fill>
    <fill>
      <patternFill patternType="solid">
        <fgColor rgb="FFFFF2CC"/>
        <bgColor rgb="FF000000"/>
      </patternFill>
    </fill>
    <fill>
      <patternFill patternType="solid">
        <fgColor rgb="FFFCE4D6"/>
        <bgColor rgb="FF000000"/>
      </patternFill>
    </fill>
    <fill>
      <patternFill patternType="solid">
        <fgColor rgb="FFC6E0B4"/>
        <bgColor rgb="FF000000"/>
      </patternFill>
    </fill>
    <fill>
      <patternFill patternType="solid">
        <fgColor rgb="FFEDEDED"/>
        <bgColor rgb="FF000000"/>
      </patternFill>
    </fill>
    <fill>
      <patternFill patternType="solid">
        <fgColor rgb="FFD6DCE4"/>
        <bgColor rgb="FF000000"/>
      </patternFill>
    </fill>
  </fills>
  <borders count="64">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bottom style="medium">
        <color rgb="FF000000"/>
      </bottom>
      <diagonal/>
    </border>
    <border>
      <left/>
      <right style="medium">
        <color rgb="FF000000"/>
      </right>
      <top style="medium">
        <color indexed="64"/>
      </top>
      <bottom/>
      <diagonal/>
    </border>
    <border>
      <left style="thin">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80">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Fill="1" applyBorder="1" applyAlignment="1"/>
    <xf numFmtId="0" fontId="0" fillId="0" borderId="3" xfId="0" applyFill="1" applyBorder="1" applyAlignment="1"/>
    <xf numFmtId="0" fontId="3" fillId="0" borderId="4" xfId="0" applyFont="1" applyFill="1" applyBorder="1" applyAlignment="1">
      <alignment horizontal="center"/>
    </xf>
    <xf numFmtId="0" fontId="3" fillId="0" borderId="4" xfId="0" applyFont="1" applyFill="1" applyBorder="1" applyAlignment="1">
      <alignment horizontal="centerContinuous"/>
    </xf>
    <xf numFmtId="0" fontId="3" fillId="0" borderId="5" xfId="0" applyFont="1" applyFill="1" applyBorder="1" applyAlignment="1">
      <alignment horizontal="center"/>
    </xf>
    <xf numFmtId="0" fontId="0" fillId="2" borderId="11" xfId="0" applyFill="1" applyBorder="1" applyAlignment="1">
      <alignment horizontal="center" vertical="center"/>
    </xf>
    <xf numFmtId="0" fontId="0" fillId="3" borderId="11" xfId="0" applyFill="1" applyBorder="1" applyAlignment="1">
      <alignment horizontal="center" vertical="center"/>
    </xf>
    <xf numFmtId="0" fontId="0" fillId="4" borderId="12" xfId="0" applyFill="1" applyBorder="1" applyAlignment="1">
      <alignment horizontal="center" vertical="center"/>
    </xf>
    <xf numFmtId="0" fontId="0" fillId="3" borderId="10" xfId="0" applyFill="1" applyBorder="1" applyAlignment="1">
      <alignment horizontal="center" vertical="center"/>
    </xf>
    <xf numFmtId="0" fontId="0" fillId="0" borderId="0" xfId="0" applyBorder="1"/>
    <xf numFmtId="0" fontId="0" fillId="5" borderId="1" xfId="0" applyFill="1" applyBorder="1" applyAlignment="1">
      <alignment horizontal="center" vertical="center" wrapText="1"/>
    </xf>
    <xf numFmtId="0" fontId="0" fillId="5" borderId="1" xfId="0" applyFill="1" applyBorder="1"/>
    <xf numFmtId="0" fontId="0" fillId="5" borderId="21" xfId="0" applyFill="1" applyBorder="1"/>
    <xf numFmtId="0" fontId="0" fillId="0" borderId="24" xfId="0" applyBorder="1"/>
    <xf numFmtId="0" fontId="0" fillId="5" borderId="1" xfId="0" applyFill="1" applyBorder="1" applyAlignment="1">
      <alignment vertical="top" wrapText="1"/>
    </xf>
    <xf numFmtId="0" fontId="8" fillId="0" borderId="25" xfId="0" applyFont="1" applyBorder="1" applyAlignment="1">
      <alignment horizontal="left"/>
    </xf>
    <xf numFmtId="0" fontId="8" fillId="0" borderId="10" xfId="0" applyFont="1" applyBorder="1" applyAlignment="1">
      <alignment horizontal="left"/>
    </xf>
    <xf numFmtId="10" fontId="0" fillId="0" borderId="0" xfId="1" applyNumberFormat="1" applyFont="1"/>
    <xf numFmtId="0" fontId="0" fillId="0" borderId="27" xfId="0" applyBorder="1"/>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7" xfId="0" applyFont="1" applyBorder="1" applyAlignment="1">
      <alignment horizontal="center" vertical="center" wrapText="1"/>
    </xf>
    <xf numFmtId="0" fontId="8" fillId="0" borderId="1" xfId="0" applyFont="1" applyBorder="1" applyAlignment="1">
      <alignment horizontal="center" vertical="center"/>
    </xf>
    <xf numFmtId="0" fontId="8" fillId="0" borderId="30" xfId="0" applyFont="1" applyBorder="1" applyAlignment="1">
      <alignment horizontal="left"/>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26"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0" fillId="4" borderId="11" xfId="0" applyFill="1" applyBorder="1" applyAlignment="1">
      <alignment horizontal="center" vertical="center"/>
    </xf>
    <xf numFmtId="0" fontId="4" fillId="6" borderId="34" xfId="0" applyFont="1" applyFill="1" applyBorder="1" applyAlignment="1">
      <alignment horizontal="center" vertical="center"/>
    </xf>
    <xf numFmtId="0" fontId="4" fillId="6" borderId="35" xfId="0" applyFont="1" applyFill="1" applyBorder="1" applyAlignment="1">
      <alignment horizontal="center" vertical="center"/>
    </xf>
    <xf numFmtId="0" fontId="4" fillId="7" borderId="35" xfId="0" applyFont="1" applyFill="1" applyBorder="1" applyAlignment="1">
      <alignment horizontal="center" vertical="center"/>
    </xf>
    <xf numFmtId="0" fontId="4" fillId="7" borderId="9" xfId="0" applyFont="1" applyFill="1" applyBorder="1" applyAlignment="1">
      <alignment horizontal="center" vertical="center"/>
    </xf>
    <xf numFmtId="0" fontId="4" fillId="8" borderId="35" xfId="0" applyFont="1" applyFill="1" applyBorder="1" applyAlignment="1">
      <alignment horizontal="center" vertical="center"/>
    </xf>
    <xf numFmtId="0" fontId="0" fillId="5" borderId="22" xfId="0" applyFill="1" applyBorder="1" applyAlignment="1">
      <alignment vertical="top" wrapText="1"/>
    </xf>
    <xf numFmtId="0" fontId="0" fillId="0" borderId="0" xfId="0" applyAlignment="1"/>
    <xf numFmtId="0" fontId="3" fillId="0" borderId="1" xfId="0" applyFont="1" applyFill="1" applyBorder="1" applyAlignment="1">
      <alignment horizontal="center" wrapText="1"/>
    </xf>
    <xf numFmtId="0" fontId="3" fillId="0" borderId="19" xfId="0" applyFont="1" applyFill="1" applyBorder="1" applyAlignment="1">
      <alignment horizontal="center" vertical="center"/>
    </xf>
    <xf numFmtId="0" fontId="6" fillId="11" borderId="20" xfId="0" applyFont="1" applyFill="1" applyBorder="1" applyAlignment="1">
      <alignment horizontal="center" vertical="center"/>
    </xf>
    <xf numFmtId="0" fontId="3" fillId="0" borderId="4" xfId="0" applyFont="1" applyFill="1" applyBorder="1" applyAlignment="1">
      <alignment horizontal="center" vertical="center"/>
    </xf>
    <xf numFmtId="0" fontId="0" fillId="5" borderId="36" xfId="0" applyFill="1" applyBorder="1" applyAlignment="1">
      <alignment vertical="center" wrapText="1"/>
    </xf>
    <xf numFmtId="0" fontId="5" fillId="5" borderId="23" xfId="0" applyFont="1" applyFill="1" applyBorder="1" applyAlignment="1">
      <alignment vertical="top" wrapText="1"/>
    </xf>
    <xf numFmtId="2" fontId="7" fillId="0" borderId="20" xfId="0" applyNumberFormat="1" applyFont="1" applyBorder="1" applyAlignment="1">
      <alignment horizontal="center" vertical="center"/>
    </xf>
    <xf numFmtId="0" fontId="0" fillId="0" borderId="27" xfId="0" applyBorder="1" applyAlignment="1">
      <alignment horizontal="center" vertical="center" wrapText="1"/>
    </xf>
    <xf numFmtId="0" fontId="7" fillId="0" borderId="0" xfId="0" applyFont="1"/>
    <xf numFmtId="0" fontId="14" fillId="14" borderId="7" xfId="0" applyFont="1" applyFill="1" applyBorder="1" applyAlignment="1">
      <alignment horizontal="center" vertical="center" wrapText="1"/>
    </xf>
    <xf numFmtId="0" fontId="13" fillId="14" borderId="6" xfId="0" applyFont="1" applyFill="1" applyBorder="1" applyAlignment="1">
      <alignment horizontal="center" vertical="center"/>
    </xf>
    <xf numFmtId="0" fontId="14" fillId="14" borderId="39" xfId="0" applyFont="1" applyFill="1" applyBorder="1" applyAlignment="1">
      <alignment horizontal="center" vertical="center" wrapText="1"/>
    </xf>
    <xf numFmtId="164" fontId="15" fillId="0" borderId="30" xfId="2" applyNumberFormat="1" applyFont="1" applyBorder="1" applyAlignment="1">
      <alignment horizontal="center" vertical="center"/>
    </xf>
    <xf numFmtId="164" fontId="8" fillId="0" borderId="31" xfId="2" applyNumberFormat="1" applyFont="1" applyBorder="1" applyAlignment="1">
      <alignment horizontal="center" vertical="center"/>
    </xf>
    <xf numFmtId="164" fontId="8" fillId="0" borderId="32" xfId="2" applyNumberFormat="1" applyFont="1" applyBorder="1" applyAlignment="1">
      <alignment horizontal="center" vertical="center"/>
    </xf>
    <xf numFmtId="164" fontId="15" fillId="0" borderId="25" xfId="2" applyNumberFormat="1" applyFont="1" applyBorder="1" applyAlignment="1">
      <alignment horizontal="center" vertical="center"/>
    </xf>
    <xf numFmtId="164" fontId="8" fillId="0" borderId="1" xfId="2" applyNumberFormat="1" applyFont="1" applyBorder="1" applyAlignment="1">
      <alignment horizontal="center" vertical="center"/>
    </xf>
    <xf numFmtId="164" fontId="8" fillId="0" borderId="26" xfId="2" applyNumberFormat="1" applyFont="1" applyBorder="1" applyAlignment="1">
      <alignment horizontal="center" vertical="center"/>
    </xf>
    <xf numFmtId="164" fontId="15" fillId="0" borderId="10" xfId="2" applyNumberFormat="1" applyFont="1" applyBorder="1" applyAlignment="1">
      <alignment horizontal="center" vertical="center"/>
    </xf>
    <xf numFmtId="164" fontId="8" fillId="0" borderId="11" xfId="2" applyNumberFormat="1" applyFont="1" applyBorder="1" applyAlignment="1">
      <alignment horizontal="center" vertical="center"/>
    </xf>
    <xf numFmtId="164" fontId="8" fillId="0" borderId="12" xfId="2" applyNumberFormat="1" applyFont="1" applyBorder="1" applyAlignment="1">
      <alignment horizontal="center" vertical="center"/>
    </xf>
    <xf numFmtId="0" fontId="14" fillId="15" borderId="39" xfId="0" applyFont="1" applyFill="1" applyBorder="1" applyAlignment="1">
      <alignment horizontal="center" vertical="center" wrapText="1"/>
    </xf>
    <xf numFmtId="0" fontId="14" fillId="15" borderId="7" xfId="0" applyFont="1" applyFill="1" applyBorder="1" applyAlignment="1">
      <alignment horizontal="center" vertical="center" wrapText="1"/>
    </xf>
    <xf numFmtId="164" fontId="8" fillId="0" borderId="31" xfId="0" applyNumberFormat="1" applyFont="1" applyBorder="1" applyAlignment="1">
      <alignment horizontal="center" vertical="center"/>
    </xf>
    <xf numFmtId="164" fontId="8" fillId="0" borderId="14" xfId="0" applyNumberFormat="1" applyFont="1" applyBorder="1" applyAlignment="1">
      <alignment horizontal="center" vertical="center"/>
    </xf>
    <xf numFmtId="164" fontId="8" fillId="0" borderId="38" xfId="0" applyNumberFormat="1" applyFont="1" applyBorder="1" applyAlignment="1">
      <alignment horizontal="center" vertical="center"/>
    </xf>
    <xf numFmtId="164" fontId="8" fillId="0" borderId="9" xfId="0" applyNumberFormat="1" applyFont="1" applyBorder="1" applyAlignment="1">
      <alignment horizontal="center" vertical="center"/>
    </xf>
    <xf numFmtId="0" fontId="16" fillId="15" borderId="39" xfId="0" applyFont="1" applyFill="1" applyBorder="1" applyAlignment="1">
      <alignment horizontal="center" vertical="center"/>
    </xf>
    <xf numFmtId="165" fontId="0" fillId="0" borderId="30" xfId="0" applyNumberFormat="1" applyBorder="1"/>
    <xf numFmtId="165" fontId="0" fillId="0" borderId="25" xfId="0" applyNumberFormat="1" applyBorder="1"/>
    <xf numFmtId="165" fontId="0" fillId="0" borderId="10" xfId="0" applyNumberFormat="1" applyBorder="1"/>
    <xf numFmtId="0" fontId="0" fillId="3" borderId="0" xfId="0" applyFill="1" applyBorder="1" applyAlignment="1"/>
    <xf numFmtId="9" fontId="7" fillId="3" borderId="0" xfId="1" applyFont="1" applyFill="1"/>
    <xf numFmtId="0" fontId="17" fillId="15" borderId="6" xfId="0" applyFont="1" applyFill="1" applyBorder="1" applyAlignment="1">
      <alignment horizontal="center" vertical="center"/>
    </xf>
    <xf numFmtId="164" fontId="8" fillId="0" borderId="40" xfId="0" applyNumberFormat="1" applyFont="1" applyBorder="1" applyAlignment="1">
      <alignment horizontal="center" vertical="center"/>
    </xf>
    <xf numFmtId="164" fontId="8" fillId="0" borderId="41" xfId="0" applyNumberFormat="1" applyFont="1" applyBorder="1" applyAlignment="1">
      <alignment horizontal="center" vertical="center"/>
    </xf>
    <xf numFmtId="164" fontId="8" fillId="0" borderId="35" xfId="0" applyNumberFormat="1" applyFont="1" applyBorder="1" applyAlignment="1">
      <alignment horizontal="center" vertical="center"/>
    </xf>
    <xf numFmtId="166" fontId="15" fillId="0" borderId="42" xfId="0" applyNumberFormat="1" applyFont="1" applyBorder="1" applyAlignment="1">
      <alignment horizontal="center"/>
    </xf>
    <xf numFmtId="166" fontId="15" fillId="0" borderId="43" xfId="0" applyNumberFormat="1" applyFont="1" applyBorder="1" applyAlignment="1">
      <alignment horizontal="center"/>
    </xf>
    <xf numFmtId="166" fontId="15" fillId="0" borderId="44" xfId="0" applyNumberFormat="1" applyFont="1" applyBorder="1" applyAlignment="1">
      <alignment horizontal="center"/>
    </xf>
    <xf numFmtId="0" fontId="0" fillId="4" borderId="0" xfId="0" applyFill="1" applyBorder="1" applyAlignment="1"/>
    <xf numFmtId="9" fontId="7" fillId="4" borderId="0" xfId="1" applyFont="1" applyFill="1"/>
    <xf numFmtId="164" fontId="8" fillId="0" borderId="1" xfId="0" applyNumberFormat="1" applyFont="1" applyBorder="1" applyAlignment="1">
      <alignment horizontal="center" vertical="center"/>
    </xf>
    <xf numFmtId="164" fontId="8" fillId="0" borderId="11" xfId="0" applyNumberFormat="1" applyFont="1" applyBorder="1" applyAlignment="1">
      <alignment horizontal="center" vertical="center"/>
    </xf>
    <xf numFmtId="0" fontId="15" fillId="0" borderId="32" xfId="0" applyFont="1" applyBorder="1" applyAlignment="1">
      <alignment horizontal="center" vertical="center"/>
    </xf>
    <xf numFmtId="0" fontId="15" fillId="0" borderId="26" xfId="0" applyFont="1" applyBorder="1" applyAlignment="1">
      <alignment horizontal="center" vertical="center"/>
    </xf>
    <xf numFmtId="0" fontId="15" fillId="0" borderId="12" xfId="0" applyFont="1" applyBorder="1" applyAlignment="1">
      <alignment horizontal="center" vertical="center"/>
    </xf>
    <xf numFmtId="166" fontId="15" fillId="0" borderId="30" xfId="0" applyNumberFormat="1" applyFont="1" applyBorder="1" applyAlignment="1">
      <alignment horizontal="center" vertical="center"/>
    </xf>
    <xf numFmtId="166" fontId="15" fillId="0" borderId="25" xfId="0" applyNumberFormat="1" applyFont="1" applyBorder="1" applyAlignment="1">
      <alignment horizontal="center" vertical="center"/>
    </xf>
    <xf numFmtId="166" fontId="15" fillId="0" borderId="10" xfId="0" applyNumberFormat="1" applyFont="1" applyBorder="1" applyAlignment="1">
      <alignment horizontal="center" vertical="center"/>
    </xf>
    <xf numFmtId="164" fontId="8" fillId="0" borderId="30" xfId="0" applyNumberFormat="1" applyFont="1" applyBorder="1" applyAlignment="1">
      <alignment horizontal="center" vertical="center"/>
    </xf>
    <xf numFmtId="164" fontId="8" fillId="0" borderId="25" xfId="0" applyNumberFormat="1" applyFont="1" applyBorder="1" applyAlignment="1">
      <alignment horizontal="center" vertical="center"/>
    </xf>
    <xf numFmtId="164" fontId="8" fillId="0" borderId="10" xfId="0" applyNumberFormat="1" applyFont="1" applyBorder="1" applyAlignment="1">
      <alignment horizontal="center" vertical="center"/>
    </xf>
    <xf numFmtId="166" fontId="15" fillId="0" borderId="32" xfId="0" applyNumberFormat="1" applyFont="1" applyBorder="1" applyAlignment="1">
      <alignment horizontal="center" vertical="center"/>
    </xf>
    <xf numFmtId="166" fontId="15" fillId="0" borderId="26" xfId="0" applyNumberFormat="1" applyFont="1" applyBorder="1" applyAlignment="1">
      <alignment horizontal="center" vertical="center"/>
    </xf>
    <xf numFmtId="166" fontId="15" fillId="0" borderId="12" xfId="0" applyNumberFormat="1" applyFont="1" applyBorder="1" applyAlignment="1">
      <alignment horizontal="center" vertical="center"/>
    </xf>
    <xf numFmtId="0" fontId="0" fillId="16" borderId="0" xfId="0" applyFill="1" applyBorder="1" applyAlignment="1"/>
    <xf numFmtId="9" fontId="7" fillId="16" borderId="0" xfId="1" applyFont="1" applyFill="1"/>
    <xf numFmtId="164" fontId="8" fillId="0" borderId="45" xfId="0" applyNumberFormat="1" applyFont="1" applyBorder="1" applyAlignment="1">
      <alignment horizontal="center" vertical="center"/>
    </xf>
    <xf numFmtId="164" fontId="8" fillId="0" borderId="34" xfId="0" applyNumberFormat="1" applyFont="1" applyBorder="1" applyAlignment="1">
      <alignment horizontal="center" vertical="center"/>
    </xf>
    <xf numFmtId="166" fontId="18" fillId="0" borderId="32" xfId="0" applyNumberFormat="1" applyFont="1" applyBorder="1" applyAlignment="1">
      <alignment horizontal="center" vertical="center"/>
    </xf>
    <xf numFmtId="166" fontId="18" fillId="0" borderId="26" xfId="0" applyNumberFormat="1" applyFont="1" applyBorder="1" applyAlignment="1">
      <alignment horizontal="center" vertical="center"/>
    </xf>
    <xf numFmtId="166" fontId="18" fillId="0" borderId="12" xfId="0" applyNumberFormat="1" applyFont="1" applyBorder="1" applyAlignment="1">
      <alignment horizontal="center" vertical="center"/>
    </xf>
    <xf numFmtId="0" fontId="0" fillId="14" borderId="0" xfId="0" applyFill="1" applyBorder="1" applyAlignment="1"/>
    <xf numFmtId="9" fontId="7" fillId="14" borderId="0" xfId="1" applyFont="1" applyFill="1"/>
    <xf numFmtId="2" fontId="0" fillId="0" borderId="3" xfId="0" applyNumberFormat="1" applyFill="1" applyBorder="1" applyAlignment="1"/>
    <xf numFmtId="2" fontId="4" fillId="0" borderId="0" xfId="0" applyNumberFormat="1" applyFont="1" applyBorder="1"/>
    <xf numFmtId="2" fontId="4" fillId="0" borderId="0" xfId="0" applyNumberFormat="1" applyFont="1"/>
    <xf numFmtId="2" fontId="0" fillId="0" borderId="0" xfId="0" applyNumberFormat="1" applyFill="1" applyBorder="1" applyAlignment="1"/>
    <xf numFmtId="0" fontId="20" fillId="17" borderId="0" xfId="0" applyFont="1" applyFill="1" applyAlignment="1">
      <alignment horizontal="right"/>
    </xf>
    <xf numFmtId="0" fontId="19" fillId="16" borderId="0" xfId="0" applyFont="1" applyFill="1" applyBorder="1" applyAlignment="1">
      <alignment horizontal="right"/>
    </xf>
    <xf numFmtId="2" fontId="19" fillId="16" borderId="0" xfId="0" applyNumberFormat="1" applyFont="1" applyFill="1" applyBorder="1"/>
    <xf numFmtId="0" fontId="20" fillId="17" borderId="0" xfId="0" applyFont="1" applyFill="1" applyBorder="1" applyAlignment="1">
      <alignment horizontal="right"/>
    </xf>
    <xf numFmtId="2" fontId="4" fillId="16" borderId="0" xfId="0" applyNumberFormat="1" applyFont="1" applyFill="1" applyBorder="1"/>
    <xf numFmtId="2" fontId="20" fillId="17" borderId="0" xfId="0" applyNumberFormat="1" applyFont="1" applyFill="1"/>
    <xf numFmtId="167" fontId="4" fillId="17" borderId="0" xfId="0" applyNumberFormat="1" applyFont="1" applyFill="1"/>
    <xf numFmtId="168" fontId="4" fillId="17" borderId="0" xfId="0" applyNumberFormat="1" applyFont="1" applyFill="1"/>
    <xf numFmtId="169" fontId="4" fillId="0" borderId="0" xfId="0" applyNumberFormat="1" applyFont="1"/>
    <xf numFmtId="170" fontId="0" fillId="0" borderId="0" xfId="0" applyNumberFormat="1"/>
    <xf numFmtId="0" fontId="0" fillId="16" borderId="0" xfId="0" applyFill="1"/>
    <xf numFmtId="0" fontId="0" fillId="20" borderId="0" xfId="0" applyFill="1" applyBorder="1" applyAlignment="1"/>
    <xf numFmtId="0" fontId="0" fillId="12" borderId="0" xfId="0" applyFill="1" applyBorder="1" applyAlignment="1"/>
    <xf numFmtId="9" fontId="7" fillId="12" borderId="0" xfId="1" applyFont="1" applyFill="1"/>
    <xf numFmtId="0" fontId="21" fillId="0" borderId="4" xfId="0" applyFont="1" applyBorder="1" applyAlignment="1">
      <alignment horizontal="center"/>
    </xf>
    <xf numFmtId="2" fontId="7" fillId="3" borderId="20" xfId="0" applyNumberFormat="1" applyFont="1" applyFill="1" applyBorder="1"/>
    <xf numFmtId="2" fontId="7" fillId="16" borderId="20" xfId="0" applyNumberFormat="1" applyFont="1" applyFill="1" applyBorder="1"/>
    <xf numFmtId="0" fontId="0" fillId="0" borderId="0" xfId="0" applyNumberFormat="1"/>
    <xf numFmtId="2" fontId="7" fillId="2" borderId="20" xfId="0" applyNumberFormat="1" applyFont="1" applyFill="1" applyBorder="1"/>
    <xf numFmtId="0" fontId="21" fillId="0" borderId="0" xfId="0" applyFont="1" applyAlignment="1">
      <alignment horizontal="center"/>
    </xf>
    <xf numFmtId="2" fontId="7" fillId="4" borderId="20" xfId="0" applyNumberFormat="1" applyFont="1" applyFill="1" applyBorder="1"/>
    <xf numFmtId="2" fontId="7" fillId="20" borderId="20" xfId="0" applyNumberFormat="1" applyFont="1" applyFill="1" applyBorder="1"/>
    <xf numFmtId="2" fontId="7" fillId="25" borderId="20" xfId="0" applyNumberFormat="1" applyFont="1" applyFill="1" applyBorder="1"/>
    <xf numFmtId="0" fontId="22" fillId="19" borderId="54" xfId="0" applyFont="1" applyFill="1" applyBorder="1" applyAlignment="1">
      <alignment horizontal="center" vertical="center" wrapText="1"/>
    </xf>
    <xf numFmtId="0" fontId="21" fillId="10" borderId="55" xfId="0" applyFont="1" applyFill="1" applyBorder="1" applyAlignment="1">
      <alignment horizontal="center"/>
    </xf>
    <xf numFmtId="0" fontId="21" fillId="27" borderId="56" xfId="0" applyFont="1" applyFill="1" applyBorder="1" applyAlignment="1">
      <alignment horizontal="center"/>
    </xf>
    <xf numFmtId="0" fontId="19" fillId="0" borderId="23" xfId="0" applyFont="1" applyBorder="1"/>
    <xf numFmtId="0" fontId="19" fillId="0" borderId="36" xfId="0" applyFont="1" applyBorder="1"/>
    <xf numFmtId="164" fontId="19" fillId="0" borderId="17" xfId="0" applyNumberFormat="1" applyFont="1" applyBorder="1"/>
    <xf numFmtId="172" fontId="19" fillId="0" borderId="20" xfId="0" applyNumberFormat="1" applyFont="1" applyBorder="1"/>
    <xf numFmtId="173" fontId="19" fillId="0" borderId="37" xfId="0" applyNumberFormat="1" applyFont="1" applyBorder="1"/>
    <xf numFmtId="164" fontId="23" fillId="0" borderId="30" xfId="0" applyNumberFormat="1" applyFont="1" applyBorder="1" applyAlignment="1">
      <alignment horizontal="center" vertical="center"/>
    </xf>
    <xf numFmtId="0" fontId="19" fillId="0" borderId="31" xfId="0" applyFont="1" applyBorder="1"/>
    <xf numFmtId="173" fontId="19" fillId="0" borderId="32" xfId="0" applyNumberFormat="1" applyFont="1" applyBorder="1"/>
    <xf numFmtId="164" fontId="23" fillId="0" borderId="45" xfId="0" applyNumberFormat="1" applyFont="1" applyBorder="1" applyAlignment="1">
      <alignment horizontal="center" vertical="center"/>
    </xf>
    <xf numFmtId="173" fontId="19" fillId="0" borderId="59" xfId="0" applyNumberFormat="1" applyFont="1" applyBorder="1"/>
    <xf numFmtId="164" fontId="23" fillId="0" borderId="60" xfId="0" applyNumberFormat="1" applyFont="1" applyBorder="1" applyAlignment="1">
      <alignment horizontal="center" vertical="center"/>
    </xf>
    <xf numFmtId="173" fontId="19" fillId="0" borderId="61" xfId="0" applyNumberFormat="1" applyFont="1" applyBorder="1"/>
    <xf numFmtId="174" fontId="0" fillId="0" borderId="20" xfId="0" applyNumberFormat="1" applyBorder="1" applyAlignment="1">
      <alignment horizontal="center" vertical="center"/>
    </xf>
    <xf numFmtId="43" fontId="0" fillId="0" borderId="20" xfId="0" applyNumberFormat="1" applyBorder="1" applyAlignment="1">
      <alignment horizontal="center" vertical="center"/>
    </xf>
    <xf numFmtId="175" fontId="0" fillId="0" borderId="20" xfId="0" applyNumberFormat="1" applyBorder="1" applyAlignment="1">
      <alignment horizontal="center" vertical="center"/>
    </xf>
    <xf numFmtId="0" fontId="0" fillId="9" borderId="39" xfId="0" applyFill="1" applyBorder="1" applyAlignment="1">
      <alignment horizontal="center" vertical="center"/>
    </xf>
    <xf numFmtId="0" fontId="0" fillId="9" borderId="20" xfId="0" applyFill="1" applyBorder="1" applyAlignment="1">
      <alignment horizontal="center" vertical="center"/>
    </xf>
    <xf numFmtId="0" fontId="0" fillId="9" borderId="62" xfId="0" applyFill="1" applyBorder="1" applyAlignment="1">
      <alignment horizontal="center" vertical="center"/>
    </xf>
    <xf numFmtId="176" fontId="0" fillId="0" borderId="28" xfId="0" applyNumberFormat="1" applyBorder="1" applyAlignment="1">
      <alignment horizontal="center" vertical="center"/>
    </xf>
    <xf numFmtId="0" fontId="0" fillId="0" borderId="57" xfId="0" applyBorder="1" applyAlignment="1">
      <alignment horizontal="center" vertical="center"/>
    </xf>
    <xf numFmtId="176" fontId="0" fillId="0" borderId="58" xfId="0" applyNumberFormat="1" applyBorder="1" applyAlignment="1">
      <alignment horizontal="center" vertical="center"/>
    </xf>
    <xf numFmtId="2" fontId="0" fillId="29" borderId="54" xfId="0" applyNumberFormat="1" applyFill="1" applyBorder="1" applyAlignment="1">
      <alignment horizontal="center" vertical="center"/>
    </xf>
    <xf numFmtId="0" fontId="4" fillId="29" borderId="55" xfId="0" applyFont="1" applyFill="1" applyBorder="1" applyAlignment="1">
      <alignment horizontal="center" vertical="center"/>
    </xf>
    <xf numFmtId="2" fontId="0" fillId="29" borderId="56" xfId="0" applyNumberFormat="1" applyFill="1" applyBorder="1" applyAlignment="1">
      <alignment horizontal="center" vertical="center"/>
    </xf>
    <xf numFmtId="0" fontId="0" fillId="0" borderId="20" xfId="0" applyBorder="1" applyAlignment="1">
      <alignment horizontal="center" vertical="center"/>
    </xf>
    <xf numFmtId="9" fontId="17" fillId="17" borderId="6" xfId="0" applyNumberFormat="1" applyFont="1" applyFill="1" applyBorder="1" applyAlignment="1">
      <alignment horizontal="center" vertical="center"/>
    </xf>
    <xf numFmtId="9" fontId="17" fillId="30" borderId="15" xfId="0" applyNumberFormat="1" applyFont="1" applyFill="1" applyBorder="1" applyAlignment="1">
      <alignment horizontal="center" vertical="center"/>
    </xf>
    <xf numFmtId="9" fontId="17" fillId="31" borderId="15" xfId="0" applyNumberFormat="1" applyFont="1" applyFill="1" applyBorder="1" applyAlignment="1">
      <alignment horizontal="center" vertical="center"/>
    </xf>
    <xf numFmtId="9" fontId="17" fillId="32" borderId="15" xfId="0" applyNumberFormat="1" applyFont="1" applyFill="1" applyBorder="1" applyAlignment="1">
      <alignment horizontal="center" vertical="center"/>
    </xf>
    <xf numFmtId="9" fontId="17" fillId="17" borderId="15" xfId="0" applyNumberFormat="1" applyFont="1" applyFill="1" applyBorder="1" applyAlignment="1">
      <alignment horizontal="center" vertical="center"/>
    </xf>
    <xf numFmtId="9" fontId="17" fillId="15" borderId="8" xfId="0" applyNumberFormat="1" applyFont="1" applyFill="1" applyBorder="1" applyAlignment="1">
      <alignment horizontal="center" vertical="center"/>
    </xf>
    <xf numFmtId="2" fontId="4" fillId="0" borderId="39" xfId="0" applyNumberFormat="1" applyFont="1" applyBorder="1" applyAlignment="1">
      <alignment horizontal="center" vertical="center"/>
    </xf>
    <xf numFmtId="2" fontId="0" fillId="0" borderId="63" xfId="0" applyNumberFormat="1" applyFill="1" applyBorder="1" applyAlignment="1">
      <alignment horizontal="center" vertical="center"/>
    </xf>
    <xf numFmtId="2" fontId="4" fillId="0" borderId="63" xfId="0" applyNumberFormat="1" applyFont="1" applyBorder="1" applyAlignment="1">
      <alignment horizontal="center" vertical="center"/>
    </xf>
    <xf numFmtId="2" fontId="4" fillId="0" borderId="62" xfId="0" applyNumberFormat="1" applyFont="1" applyBorder="1" applyAlignment="1">
      <alignment horizontal="center" vertical="center"/>
    </xf>
    <xf numFmtId="0" fontId="4" fillId="33" borderId="39" xfId="0" applyNumberFormat="1" applyFont="1" applyFill="1" applyBorder="1" applyAlignment="1">
      <alignment horizontal="center" vertical="center"/>
    </xf>
    <xf numFmtId="2" fontId="17" fillId="30" borderId="20" xfId="0" applyNumberFormat="1" applyFont="1" applyFill="1" applyBorder="1"/>
    <xf numFmtId="2" fontId="17" fillId="17" borderId="20" xfId="0" applyNumberFormat="1" applyFont="1" applyFill="1" applyBorder="1"/>
    <xf numFmtId="2" fontId="17" fillId="18" borderId="20" xfId="0" applyNumberFormat="1" applyFont="1" applyFill="1" applyBorder="1"/>
    <xf numFmtId="2" fontId="17" fillId="31" borderId="20" xfId="0" applyNumberFormat="1" applyFont="1" applyFill="1" applyBorder="1"/>
    <xf numFmtId="2" fontId="17" fillId="33" borderId="20" xfId="0" applyNumberFormat="1" applyFont="1" applyFill="1" applyBorder="1"/>
    <xf numFmtId="2" fontId="17" fillId="34" borderId="20" xfId="0" applyNumberFormat="1" applyFont="1" applyFill="1" applyBorder="1"/>
    <xf numFmtId="2" fontId="0" fillId="0" borderId="0" xfId="0" applyNumberFormat="1"/>
    <xf numFmtId="0" fontId="12" fillId="13" borderId="17" xfId="0" applyFont="1" applyFill="1" applyBorder="1" applyAlignment="1">
      <alignment horizontal="center" vertical="center" wrapText="1"/>
    </xf>
    <xf numFmtId="0" fontId="12" fillId="13" borderId="18" xfId="0" applyFont="1" applyFill="1" applyBorder="1" applyAlignment="1">
      <alignment horizontal="center" vertical="center" wrapText="1"/>
    </xf>
    <xf numFmtId="0" fontId="12" fillId="13" borderId="37"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0" fillId="2" borderId="13" xfId="0" applyFill="1" applyBorder="1" applyAlignment="1">
      <alignment horizontal="center" vertical="center"/>
    </xf>
    <xf numFmtId="0" fontId="0" fillId="2" borderId="4" xfId="0" applyFill="1" applyBorder="1" applyAlignment="1">
      <alignment horizontal="center" vertical="center"/>
    </xf>
    <xf numFmtId="0" fontId="0" fillId="2" borderId="14" xfId="0" applyFill="1" applyBorder="1" applyAlignment="1">
      <alignment horizontal="center" vertical="center"/>
    </xf>
    <xf numFmtId="0" fontId="4" fillId="8" borderId="1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33" xfId="0" applyFont="1" applyFill="1" applyBorder="1" applyAlignment="1">
      <alignment horizontal="center" vertical="center"/>
    </xf>
    <xf numFmtId="0" fontId="10" fillId="9" borderId="6"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9" borderId="15" xfId="0" applyFont="1" applyFill="1" applyBorder="1" applyAlignment="1">
      <alignment horizontal="center" vertical="center" wrapText="1"/>
    </xf>
    <xf numFmtId="0" fontId="10" fillId="9" borderId="0" xfId="0" applyFont="1" applyFill="1" applyBorder="1" applyAlignment="1">
      <alignment horizontal="center" vertical="center" wrapText="1"/>
    </xf>
    <xf numFmtId="0" fontId="10" fillId="9" borderId="16"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0" fillId="10" borderId="17" xfId="0" applyFill="1" applyBorder="1" applyAlignment="1">
      <alignment horizontal="center" vertical="center"/>
    </xf>
    <xf numFmtId="0" fontId="0" fillId="10" borderId="18" xfId="0" applyFill="1" applyBorder="1" applyAlignment="1">
      <alignment horizontal="center" vertical="center"/>
    </xf>
    <xf numFmtId="0" fontId="4" fillId="0" borderId="0" xfId="0" applyFont="1" applyAlignment="1">
      <alignment horizontal="center" wrapText="1"/>
    </xf>
    <xf numFmtId="0" fontId="4" fillId="7" borderId="28" xfId="0" applyFont="1" applyFill="1" applyBorder="1" applyAlignment="1">
      <alignment horizontal="center" vertical="center" wrapText="1"/>
    </xf>
    <xf numFmtId="0" fontId="4" fillId="7" borderId="48" xfId="0" applyFont="1" applyFill="1" applyBorder="1" applyAlignment="1">
      <alignment horizontal="center" vertical="center" wrapText="1"/>
    </xf>
    <xf numFmtId="0" fontId="4" fillId="7" borderId="46" xfId="0" applyFont="1" applyFill="1" applyBorder="1" applyAlignment="1">
      <alignment horizontal="center"/>
    </xf>
    <xf numFmtId="0" fontId="4" fillId="7" borderId="2" xfId="0" applyFont="1" applyFill="1" applyBorder="1" applyAlignment="1">
      <alignment horizontal="center"/>
    </xf>
    <xf numFmtId="0" fontId="4" fillId="7" borderId="49" xfId="0" applyFont="1" applyFill="1" applyBorder="1" applyAlignment="1">
      <alignment horizontal="center"/>
    </xf>
    <xf numFmtId="0" fontId="4" fillId="7" borderId="50" xfId="0" applyFont="1" applyFill="1" applyBorder="1" applyAlignment="1">
      <alignment horizontal="center"/>
    </xf>
    <xf numFmtId="0" fontId="4" fillId="7" borderId="51" xfId="0" applyFont="1" applyFill="1" applyBorder="1" applyAlignment="1">
      <alignment horizontal="center"/>
    </xf>
    <xf numFmtId="0" fontId="4" fillId="7" borderId="52" xfId="0" applyFont="1" applyFill="1" applyBorder="1" applyAlignment="1">
      <alignment horizontal="center"/>
    </xf>
    <xf numFmtId="171" fontId="0" fillId="16" borderId="53" xfId="0" applyNumberFormat="1" applyFill="1" applyBorder="1" applyAlignment="1">
      <alignment horizontal="center"/>
    </xf>
    <xf numFmtId="0" fontId="0" fillId="20" borderId="0" xfId="0" applyFill="1" applyAlignment="1">
      <alignment horizontal="center" wrapText="1"/>
    </xf>
    <xf numFmtId="0" fontId="0" fillId="3" borderId="17" xfId="0" applyFill="1" applyBorder="1" applyAlignment="1">
      <alignment horizontal="center"/>
    </xf>
    <xf numFmtId="0" fontId="0" fillId="3" borderId="37" xfId="0" applyFill="1" applyBorder="1" applyAlignment="1">
      <alignment horizontal="center"/>
    </xf>
    <xf numFmtId="0" fontId="0" fillId="3" borderId="30"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46" xfId="0" applyFill="1" applyBorder="1" applyAlignment="1">
      <alignment horizontal="center"/>
    </xf>
    <xf numFmtId="0" fontId="0" fillId="3" borderId="2" xfId="0" applyFill="1" applyBorder="1" applyAlignment="1">
      <alignment horizontal="center"/>
    </xf>
    <xf numFmtId="0" fontId="0" fillId="3" borderId="7" xfId="0" applyFill="1" applyBorder="1" applyAlignment="1">
      <alignment horizontal="center"/>
    </xf>
    <xf numFmtId="0" fontId="0" fillId="3" borderId="47" xfId="0" applyFill="1" applyBorder="1" applyAlignment="1">
      <alignment horizontal="center"/>
    </xf>
    <xf numFmtId="0" fontId="0" fillId="3" borderId="3" xfId="0" applyFill="1" applyBorder="1" applyAlignment="1">
      <alignment horizontal="center"/>
    </xf>
    <xf numFmtId="0" fontId="0" fillId="3" borderId="9" xfId="0" applyFill="1" applyBorder="1" applyAlignment="1">
      <alignment horizontal="center"/>
    </xf>
    <xf numFmtId="0" fontId="4" fillId="22" borderId="17" xfId="0" applyFont="1" applyFill="1" applyBorder="1" applyAlignment="1">
      <alignment horizontal="center"/>
    </xf>
    <xf numFmtId="0" fontId="4" fillId="22" borderId="18" xfId="0" applyFont="1" applyFill="1" applyBorder="1" applyAlignment="1">
      <alignment horizontal="center"/>
    </xf>
    <xf numFmtId="0" fontId="0" fillId="4" borderId="28"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9" xfId="0" applyFill="1" applyBorder="1" applyAlignment="1">
      <alignment horizontal="center"/>
    </xf>
    <xf numFmtId="0" fontId="4" fillId="23" borderId="17" xfId="0" applyFont="1" applyFill="1" applyBorder="1" applyAlignment="1">
      <alignment horizontal="center"/>
    </xf>
    <xf numFmtId="0" fontId="4" fillId="23" borderId="18" xfId="0" applyFont="1" applyFill="1" applyBorder="1" applyAlignment="1">
      <alignment horizontal="center"/>
    </xf>
    <xf numFmtId="0" fontId="11" fillId="3" borderId="6" xfId="0" applyFont="1" applyFill="1" applyBorder="1" applyAlignment="1">
      <alignment horizontal="center" wrapText="1"/>
    </xf>
    <xf numFmtId="0" fontId="11" fillId="3" borderId="2" xfId="0" applyFont="1" applyFill="1" applyBorder="1" applyAlignment="1">
      <alignment horizontal="center" wrapText="1"/>
    </xf>
    <xf numFmtId="0" fontId="11" fillId="3" borderId="7" xfId="0" applyFont="1" applyFill="1" applyBorder="1" applyAlignment="1">
      <alignment horizontal="center" wrapText="1"/>
    </xf>
    <xf numFmtId="0" fontId="11" fillId="3" borderId="15" xfId="0" applyFont="1" applyFill="1" applyBorder="1" applyAlignment="1">
      <alignment horizontal="center" wrapText="1"/>
    </xf>
    <xf numFmtId="0" fontId="11" fillId="3" borderId="0" xfId="0" applyFont="1" applyFill="1" applyBorder="1" applyAlignment="1">
      <alignment horizontal="center" wrapText="1"/>
    </xf>
    <xf numFmtId="0" fontId="11" fillId="3" borderId="16" xfId="0" applyFont="1" applyFill="1" applyBorder="1" applyAlignment="1">
      <alignment horizontal="center" wrapText="1"/>
    </xf>
    <xf numFmtId="0" fontId="11" fillId="3" borderId="8" xfId="0" applyFont="1" applyFill="1" applyBorder="1" applyAlignment="1">
      <alignment horizontal="center" wrapText="1"/>
    </xf>
    <xf numFmtId="0" fontId="11" fillId="3" borderId="3" xfId="0" applyFont="1" applyFill="1" applyBorder="1" applyAlignment="1">
      <alignment horizontal="center" wrapText="1"/>
    </xf>
    <xf numFmtId="0" fontId="11" fillId="3" borderId="9" xfId="0" applyFont="1" applyFill="1" applyBorder="1" applyAlignment="1">
      <alignment horizontal="center" wrapText="1"/>
    </xf>
    <xf numFmtId="0" fontId="4" fillId="21" borderId="28" xfId="0" applyFont="1" applyFill="1" applyBorder="1" applyAlignment="1">
      <alignment horizontal="center" vertical="center" wrapText="1"/>
    </xf>
    <xf numFmtId="0" fontId="4" fillId="21" borderId="34" xfId="0" applyFont="1" applyFill="1" applyBorder="1" applyAlignment="1">
      <alignment horizontal="center" vertical="center" wrapText="1"/>
    </xf>
    <xf numFmtId="0" fontId="17" fillId="19" borderId="17" xfId="0" applyFont="1" applyFill="1" applyBorder="1" applyAlignment="1">
      <alignment horizontal="center"/>
    </xf>
    <xf numFmtId="0" fontId="17" fillId="19" borderId="18" xfId="0" applyFont="1" applyFill="1" applyBorder="1" applyAlignment="1">
      <alignment horizontal="center"/>
    </xf>
    <xf numFmtId="0" fontId="7" fillId="28" borderId="6" xfId="0" applyFont="1" applyFill="1" applyBorder="1" applyAlignment="1">
      <alignment horizontal="center" vertical="center"/>
    </xf>
    <xf numFmtId="0" fontId="7" fillId="28" borderId="2" xfId="0" applyFont="1" applyFill="1" applyBorder="1" applyAlignment="1">
      <alignment horizontal="center" vertical="center"/>
    </xf>
    <xf numFmtId="0" fontId="7" fillId="28" borderId="7" xfId="0" applyFont="1" applyFill="1" applyBorder="1" applyAlignment="1">
      <alignment horizontal="center" vertical="center"/>
    </xf>
    <xf numFmtId="0" fontId="4" fillId="19" borderId="28" xfId="0" applyFont="1" applyFill="1" applyBorder="1" applyAlignment="1">
      <alignment horizontal="center" vertical="center" wrapText="1"/>
    </xf>
    <xf numFmtId="0" fontId="4" fillId="19" borderId="34" xfId="0" applyFont="1" applyFill="1" applyBorder="1" applyAlignment="1">
      <alignment horizontal="center" vertical="center" wrapText="1"/>
    </xf>
    <xf numFmtId="0" fontId="0" fillId="4" borderId="46" xfId="0" applyFill="1" applyBorder="1" applyAlignment="1">
      <alignment horizontal="center"/>
    </xf>
    <xf numFmtId="0" fontId="0" fillId="4" borderId="47" xfId="0" applyFill="1" applyBorder="1" applyAlignment="1">
      <alignment horizontal="center"/>
    </xf>
    <xf numFmtId="0" fontId="0" fillId="14" borderId="0" xfId="0" applyFill="1" applyAlignment="1">
      <alignment horizontal="center" wrapText="1"/>
    </xf>
    <xf numFmtId="0" fontId="4" fillId="24" borderId="17" xfId="0" applyFont="1" applyFill="1" applyBorder="1" applyAlignment="1">
      <alignment horizontal="center"/>
    </xf>
    <xf numFmtId="0" fontId="4" fillId="24" borderId="18" xfId="0" applyFont="1" applyFill="1" applyBorder="1" applyAlignment="1">
      <alignment horizontal="center"/>
    </xf>
    <xf numFmtId="0" fontId="4" fillId="18" borderId="28" xfId="0" applyFont="1" applyFill="1" applyBorder="1" applyAlignment="1">
      <alignment horizontal="center" vertical="center" wrapText="1"/>
    </xf>
    <xf numFmtId="0" fontId="4" fillId="18" borderId="48" xfId="0" applyFont="1" applyFill="1" applyBorder="1" applyAlignment="1">
      <alignment horizontal="center" vertical="center" wrapText="1"/>
    </xf>
    <xf numFmtId="0" fontId="4" fillId="18" borderId="46" xfId="0" applyFont="1" applyFill="1" applyBorder="1" applyAlignment="1">
      <alignment horizontal="center"/>
    </xf>
    <xf numFmtId="0" fontId="4" fillId="18" borderId="2" xfId="0" applyFont="1" applyFill="1" applyBorder="1" applyAlignment="1">
      <alignment horizontal="center"/>
    </xf>
    <xf numFmtId="0" fontId="4" fillId="18" borderId="49" xfId="0" applyFont="1" applyFill="1" applyBorder="1" applyAlignment="1">
      <alignment horizontal="center"/>
    </xf>
    <xf numFmtId="0" fontId="4" fillId="18" borderId="50" xfId="0" applyFont="1" applyFill="1" applyBorder="1" applyAlignment="1">
      <alignment horizontal="center"/>
    </xf>
    <xf numFmtId="0" fontId="4" fillId="18" borderId="51" xfId="0" applyFont="1" applyFill="1" applyBorder="1" applyAlignment="1">
      <alignment horizontal="center"/>
    </xf>
    <xf numFmtId="0" fontId="4" fillId="18" borderId="52" xfId="0" applyFont="1" applyFill="1" applyBorder="1" applyAlignment="1">
      <alignment horizontal="center"/>
    </xf>
    <xf numFmtId="0" fontId="4" fillId="26" borderId="17" xfId="0" applyFont="1" applyFill="1" applyBorder="1" applyAlignment="1">
      <alignment horizontal="center"/>
    </xf>
    <xf numFmtId="0" fontId="4" fillId="26" borderId="18" xfId="0" applyFont="1" applyFill="1" applyBorder="1" applyAlignment="1">
      <alignment horizontal="center"/>
    </xf>
    <xf numFmtId="0" fontId="0" fillId="13" borderId="6" xfId="0" applyFill="1" applyBorder="1" applyAlignment="1">
      <alignment horizontal="left" vertical="top" wrapText="1"/>
    </xf>
    <xf numFmtId="0" fontId="0" fillId="13" borderId="2" xfId="0" applyFill="1" applyBorder="1" applyAlignment="1">
      <alignment horizontal="left" vertical="top" wrapText="1"/>
    </xf>
    <xf numFmtId="0" fontId="0" fillId="13" borderId="7" xfId="0" applyFill="1" applyBorder="1" applyAlignment="1">
      <alignment horizontal="left" vertical="top" wrapText="1"/>
    </xf>
    <xf numFmtId="0" fontId="0" fillId="13" borderId="15" xfId="0" applyFill="1" applyBorder="1" applyAlignment="1">
      <alignment horizontal="left" vertical="top" wrapText="1"/>
    </xf>
    <xf numFmtId="0" fontId="0" fillId="13" borderId="0" xfId="0" applyFill="1" applyBorder="1" applyAlignment="1">
      <alignment horizontal="left" vertical="top" wrapText="1"/>
    </xf>
    <xf numFmtId="0" fontId="0" fillId="13" borderId="16" xfId="0" applyFill="1" applyBorder="1" applyAlignment="1">
      <alignment horizontal="left" vertical="top" wrapText="1"/>
    </xf>
    <xf numFmtId="0" fontId="0" fillId="13" borderId="8" xfId="0" applyFill="1" applyBorder="1" applyAlignment="1">
      <alignment horizontal="left" vertical="top" wrapText="1"/>
    </xf>
    <xf numFmtId="0" fontId="0" fillId="13" borderId="3" xfId="0" applyFill="1" applyBorder="1" applyAlignment="1">
      <alignment horizontal="left" vertical="top" wrapText="1"/>
    </xf>
    <xf numFmtId="0" fontId="0" fillId="13" borderId="9" xfId="0" applyFill="1" applyBorder="1" applyAlignment="1">
      <alignment horizontal="left" vertical="top" wrapText="1"/>
    </xf>
  </cellXfs>
  <cellStyles count="3">
    <cellStyle name="Обычный" xfId="0" builtinId="0"/>
    <cellStyle name="Процентный" xfId="1" builtinId="5"/>
    <cellStyle name="Финансовый"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a:t>
            </a:r>
            <a:r>
              <a:rPr lang="en-US" baseline="0"/>
              <a:t> - </a:t>
            </a:r>
            <a:r>
              <a:rPr lang="ru-RU" baseline="0"/>
              <a:t>Объем платных услуг на душу населения по субъектам РФ за 2024 год, руб. График остатков</a:t>
            </a:r>
            <a:endParaRPr lang="ru-RU"/>
          </a:p>
        </c:rich>
      </c:tx>
      <c:overlay val="0"/>
    </c:title>
    <c:autoTitleDeleted val="0"/>
    <c:plotArea>
      <c:layout/>
      <c:scatterChart>
        <c:scatterStyle val="lineMarker"/>
        <c:varyColors val="0"/>
        <c:ser>
          <c:idx val="0"/>
          <c:order val="0"/>
          <c:spPr>
            <a:ln w="19050">
              <a:noFill/>
            </a:ln>
          </c:spPr>
          <c:xVal>
            <c:numRef>
              <c:f>'Регрессионный анализ'!$B$2:$B$86</c:f>
              <c:numCache>
                <c:formatCode>General</c:formatCode>
                <c:ptCount val="85"/>
                <c:pt idx="0">
                  <c:v>77149</c:v>
                </c:pt>
                <c:pt idx="1">
                  <c:v>90442</c:v>
                </c:pt>
                <c:pt idx="2">
                  <c:v>107047</c:v>
                </c:pt>
                <c:pt idx="3">
                  <c:v>59369</c:v>
                </c:pt>
                <c:pt idx="4">
                  <c:v>83556</c:v>
                </c:pt>
                <c:pt idx="5">
                  <c:v>70346</c:v>
                </c:pt>
                <c:pt idx="6">
                  <c:v>78606</c:v>
                </c:pt>
                <c:pt idx="7">
                  <c:v>87372</c:v>
                </c:pt>
                <c:pt idx="8">
                  <c:v>85908</c:v>
                </c:pt>
                <c:pt idx="9">
                  <c:v>76797</c:v>
                </c:pt>
                <c:pt idx="10">
                  <c:v>87015</c:v>
                </c:pt>
                <c:pt idx="11">
                  <c:v>83105</c:v>
                </c:pt>
                <c:pt idx="12">
                  <c:v>75584</c:v>
                </c:pt>
                <c:pt idx="13">
                  <c:v>79302</c:v>
                </c:pt>
                <c:pt idx="14">
                  <c:v>72618</c:v>
                </c:pt>
                <c:pt idx="15">
                  <c:v>114401</c:v>
                </c:pt>
                <c:pt idx="16">
                  <c:v>80241</c:v>
                </c:pt>
                <c:pt idx="17">
                  <c:v>125583</c:v>
                </c:pt>
                <c:pt idx="18">
                  <c:v>67347</c:v>
                </c:pt>
                <c:pt idx="19">
                  <c:v>83731</c:v>
                </c:pt>
                <c:pt idx="20">
                  <c:v>83168</c:v>
                </c:pt>
                <c:pt idx="21">
                  <c:v>72253</c:v>
                </c:pt>
                <c:pt idx="22">
                  <c:v>184607</c:v>
                </c:pt>
                <c:pt idx="23">
                  <c:v>108297</c:v>
                </c:pt>
                <c:pt idx="24">
                  <c:v>56306</c:v>
                </c:pt>
                <c:pt idx="25">
                  <c:v>70911</c:v>
                </c:pt>
                <c:pt idx="26">
                  <c:v>79469</c:v>
                </c:pt>
                <c:pt idx="27">
                  <c:v>92815</c:v>
                </c:pt>
                <c:pt idx="28">
                  <c:v>130530</c:v>
                </c:pt>
                <c:pt idx="29">
                  <c:v>110587</c:v>
                </c:pt>
                <c:pt idx="30">
                  <c:v>140661</c:v>
                </c:pt>
                <c:pt idx="31">
                  <c:v>95039</c:v>
                </c:pt>
                <c:pt idx="32">
                  <c:v>105440</c:v>
                </c:pt>
                <c:pt idx="33">
                  <c:v>80066</c:v>
                </c:pt>
                <c:pt idx="34">
                  <c:v>113585</c:v>
                </c:pt>
                <c:pt idx="35">
                  <c:v>92297</c:v>
                </c:pt>
                <c:pt idx="36">
                  <c:v>74419</c:v>
                </c:pt>
                <c:pt idx="37">
                  <c:v>77534</c:v>
                </c:pt>
                <c:pt idx="38">
                  <c:v>76315</c:v>
                </c:pt>
                <c:pt idx="39">
                  <c:v>107695</c:v>
                </c:pt>
                <c:pt idx="40">
                  <c:v>134478</c:v>
                </c:pt>
                <c:pt idx="41">
                  <c:v>70545</c:v>
                </c:pt>
                <c:pt idx="42">
                  <c:v>61750</c:v>
                </c:pt>
                <c:pt idx="43">
                  <c:v>84262</c:v>
                </c:pt>
                <c:pt idx="44">
                  <c:v>90667</c:v>
                </c:pt>
                <c:pt idx="45">
                  <c:v>73536</c:v>
                </c:pt>
                <c:pt idx="46">
                  <c:v>64100</c:v>
                </c:pt>
                <c:pt idx="47">
                  <c:v>24816</c:v>
                </c:pt>
                <c:pt idx="48">
                  <c:v>40166</c:v>
                </c:pt>
                <c:pt idx="49">
                  <c:v>120273</c:v>
                </c:pt>
                <c:pt idx="50">
                  <c:v>96407</c:v>
                </c:pt>
                <c:pt idx="51">
                  <c:v>89422</c:v>
                </c:pt>
                <c:pt idx="52">
                  <c:v>52294</c:v>
                </c:pt>
                <c:pt idx="53">
                  <c:v>52126</c:v>
                </c:pt>
                <c:pt idx="54">
                  <c:v>118877</c:v>
                </c:pt>
                <c:pt idx="55">
                  <c:v>58610</c:v>
                </c:pt>
                <c:pt idx="56">
                  <c:v>114065</c:v>
                </c:pt>
                <c:pt idx="57">
                  <c:v>58383</c:v>
                </c:pt>
                <c:pt idx="58">
                  <c:v>64698</c:v>
                </c:pt>
                <c:pt idx="59">
                  <c:v>106713</c:v>
                </c:pt>
                <c:pt idx="60">
                  <c:v>75112</c:v>
                </c:pt>
                <c:pt idx="61">
                  <c:v>87081</c:v>
                </c:pt>
                <c:pt idx="62">
                  <c:v>65624</c:v>
                </c:pt>
                <c:pt idx="63">
                  <c:v>133994</c:v>
                </c:pt>
                <c:pt idx="64">
                  <c:v>158779</c:v>
                </c:pt>
                <c:pt idx="65">
                  <c:v>59996</c:v>
                </c:pt>
                <c:pt idx="66">
                  <c:v>90020</c:v>
                </c:pt>
                <c:pt idx="67">
                  <c:v>74538</c:v>
                </c:pt>
                <c:pt idx="68">
                  <c:v>76218</c:v>
                </c:pt>
                <c:pt idx="69">
                  <c:v>70818</c:v>
                </c:pt>
                <c:pt idx="70">
                  <c:v>79125</c:v>
                </c:pt>
                <c:pt idx="71">
                  <c:v>119041</c:v>
                </c:pt>
                <c:pt idx="72">
                  <c:v>85129</c:v>
                </c:pt>
                <c:pt idx="73">
                  <c:v>78123</c:v>
                </c:pt>
                <c:pt idx="74">
                  <c:v>135821</c:v>
                </c:pt>
                <c:pt idx="75">
                  <c:v>112512</c:v>
                </c:pt>
                <c:pt idx="76">
                  <c:v>90766</c:v>
                </c:pt>
                <c:pt idx="77">
                  <c:v>57057</c:v>
                </c:pt>
                <c:pt idx="78">
                  <c:v>72932</c:v>
                </c:pt>
                <c:pt idx="79">
                  <c:v>106794</c:v>
                </c:pt>
                <c:pt idx="80">
                  <c:v>134791</c:v>
                </c:pt>
                <c:pt idx="81">
                  <c:v>84096</c:v>
                </c:pt>
                <c:pt idx="82">
                  <c:v>307068</c:v>
                </c:pt>
                <c:pt idx="83">
                  <c:v>174153</c:v>
                </c:pt>
                <c:pt idx="84">
                  <c:v>94248</c:v>
                </c:pt>
              </c:numCache>
            </c:numRef>
          </c:xVal>
          <c:yVal>
            <c:numRef>
              <c:f>'Регрессионный анализ'!$G$26:$G$110</c:f>
              <c:numCache>
                <c:formatCode>General</c:formatCode>
                <c:ptCount val="85"/>
                <c:pt idx="0">
                  <c:v>-13636.383748671185</c:v>
                </c:pt>
                <c:pt idx="1">
                  <c:v>11224.935478987754</c:v>
                </c:pt>
                <c:pt idx="2">
                  <c:v>1971.4229366930813</c:v>
                </c:pt>
                <c:pt idx="3">
                  <c:v>2861.9196540388075</c:v>
                </c:pt>
                <c:pt idx="4">
                  <c:v>-6419.4305935059965</c:v>
                </c:pt>
                <c:pt idx="5">
                  <c:v>-6898.8244096027847</c:v>
                </c:pt>
                <c:pt idx="6">
                  <c:v>-4951.5244155861728</c:v>
                </c:pt>
                <c:pt idx="7">
                  <c:v>-12967.823719756911</c:v>
                </c:pt>
                <c:pt idx="8">
                  <c:v>-1969.0502562266774</c:v>
                </c:pt>
                <c:pt idx="9">
                  <c:v>-5380.7059760191041</c:v>
                </c:pt>
                <c:pt idx="10">
                  <c:v>4758.4489076203317</c:v>
                </c:pt>
                <c:pt idx="11">
                  <c:v>13182.625302704488</c:v>
                </c:pt>
                <c:pt idx="12">
                  <c:v>-18382.194219692494</c:v>
                </c:pt>
                <c:pt idx="13">
                  <c:v>17120.271806669945</c:v>
                </c:pt>
                <c:pt idx="14">
                  <c:v>-20057.926396720737</c:v>
                </c:pt>
                <c:pt idx="15">
                  <c:v>-21641.089393089205</c:v>
                </c:pt>
                <c:pt idx="16">
                  <c:v>3675.9580892827362</c:v>
                </c:pt>
                <c:pt idx="17">
                  <c:v>38657.777499537158</c:v>
                </c:pt>
                <c:pt idx="18">
                  <c:v>-15341.430545444899</c:v>
                </c:pt>
                <c:pt idx="19">
                  <c:v>5869.7494911130052</c:v>
                </c:pt>
                <c:pt idx="20">
                  <c:v>-13785.06986683268</c:v>
                </c:pt>
                <c:pt idx="21">
                  <c:v>-9477.5020017832139</c:v>
                </c:pt>
                <c:pt idx="22">
                  <c:v>-54273.963560167816</c:v>
                </c:pt>
                <c:pt idx="23">
                  <c:v>9944.7092554002011</c:v>
                </c:pt>
                <c:pt idx="24">
                  <c:v>5109.5276586788968</c:v>
                </c:pt>
                <c:pt idx="25">
                  <c:v>-552.04299354716204</c:v>
                </c:pt>
                <c:pt idx="26">
                  <c:v>11905.603658849228</c:v>
                </c:pt>
                <c:pt idx="27">
                  <c:v>-9296.5825735786493</c:v>
                </c:pt>
                <c:pt idx="28">
                  <c:v>60261.42823445244</c:v>
                </c:pt>
                <c:pt idx="29">
                  <c:v>12935.265791271639</c:v>
                </c:pt>
                <c:pt idx="30">
                  <c:v>12399.733590309857</c:v>
                </c:pt>
                <c:pt idx="31">
                  <c:v>57005.226044665062</c:v>
                </c:pt>
                <c:pt idx="32">
                  <c:v>-14052.590754636782</c:v>
                </c:pt>
                <c:pt idx="33">
                  <c:v>-7455.2219953362655</c:v>
                </c:pt>
                <c:pt idx="34">
                  <c:v>-11055.609101941227</c:v>
                </c:pt>
                <c:pt idx="35">
                  <c:v>-11373.755624050886</c:v>
                </c:pt>
                <c:pt idx="36">
                  <c:v>-3440.593068727525</c:v>
                </c:pt>
                <c:pt idx="37">
                  <c:v>-12982.187562509382</c:v>
                </c:pt>
                <c:pt idx="38">
                  <c:v>-11015.561980512575</c:v>
                </c:pt>
                <c:pt idx="39">
                  <c:v>-9923.8702356891445</c:v>
                </c:pt>
                <c:pt idx="40">
                  <c:v>-9748.469056543021</c:v>
                </c:pt>
                <c:pt idx="41">
                  <c:v>-10503.099627664611</c:v>
                </c:pt>
                <c:pt idx="42">
                  <c:v>-4623.750166087877</c:v>
                </c:pt>
                <c:pt idx="43">
                  <c:v>-9078.8240807002148</c:v>
                </c:pt>
                <c:pt idx="44">
                  <c:v>-8352.8329836449557</c:v>
                </c:pt>
                <c:pt idx="45">
                  <c:v>5884.6582757377764</c:v>
                </c:pt>
                <c:pt idx="46">
                  <c:v>-17505.331886918502</c:v>
                </c:pt>
                <c:pt idx="47">
                  <c:v>-1169.0772821907594</c:v>
                </c:pt>
                <c:pt idx="48">
                  <c:v>-561.28128846737673</c:v>
                </c:pt>
                <c:pt idx="49">
                  <c:v>-17086.48678233067</c:v>
                </c:pt>
                <c:pt idx="50">
                  <c:v>9943.2737918581115</c:v>
                </c:pt>
                <c:pt idx="51">
                  <c:v>-19975.714157077251</c:v>
                </c:pt>
                <c:pt idx="52">
                  <c:v>4980.6390901565319</c:v>
                </c:pt>
                <c:pt idx="53">
                  <c:v>1202.826208922299</c:v>
                </c:pt>
                <c:pt idx="54">
                  <c:v>36295.996656937234</c:v>
                </c:pt>
                <c:pt idx="55">
                  <c:v>-11132.18139868015</c:v>
                </c:pt>
                <c:pt idx="56">
                  <c:v>-12310.715155557686</c:v>
                </c:pt>
                <c:pt idx="57">
                  <c:v>8363.6250058426376</c:v>
                </c:pt>
                <c:pt idx="58">
                  <c:v>9161.3234879509837</c:v>
                </c:pt>
                <c:pt idx="59">
                  <c:v>-21777.240767665455</c:v>
                </c:pt>
                <c:pt idx="60">
                  <c:v>-3404.2399336363014</c:v>
                </c:pt>
                <c:pt idx="61">
                  <c:v>-3677.8031747519271</c:v>
                </c:pt>
                <c:pt idx="62">
                  <c:v>-4309.2436071507836</c:v>
                </c:pt>
                <c:pt idx="63">
                  <c:v>31942.712880853593</c:v>
                </c:pt>
                <c:pt idx="64">
                  <c:v>-32200.981991821725</c:v>
                </c:pt>
                <c:pt idx="65">
                  <c:v>400.52487150229717</c:v>
                </c:pt>
                <c:pt idx="66">
                  <c:v>-18413.05878220775</c:v>
                </c:pt>
                <c:pt idx="67">
                  <c:v>-12393.350611186615</c:v>
                </c:pt>
                <c:pt idx="68">
                  <c:v>-3727.2217988442426</c:v>
                </c:pt>
                <c:pt idx="69">
                  <c:v>12893.221304341016</c:v>
                </c:pt>
                <c:pt idx="70">
                  <c:v>3926.1296639410284</c:v>
                </c:pt>
                <c:pt idx="71">
                  <c:v>31249.885421951592</c:v>
                </c:pt>
                <c:pt idx="72">
                  <c:v>-5496.771890044969</c:v>
                </c:pt>
                <c:pt idx="73">
                  <c:v>-9678.8614491345943</c:v>
                </c:pt>
                <c:pt idx="74">
                  <c:v>-9069.4470357240934</c:v>
                </c:pt>
                <c:pt idx="75">
                  <c:v>37475.246722080599</c:v>
                </c:pt>
                <c:pt idx="76">
                  <c:v>-5037.2111072033586</c:v>
                </c:pt>
                <c:pt idx="77">
                  <c:v>-16649.219521041872</c:v>
                </c:pt>
                <c:pt idx="78">
                  <c:v>-5883.8832734615135</c:v>
                </c:pt>
                <c:pt idx="79">
                  <c:v>104259.72258578677</c:v>
                </c:pt>
                <c:pt idx="80">
                  <c:v>65048.093037661252</c:v>
                </c:pt>
                <c:pt idx="81">
                  <c:v>-6515.674903824518</c:v>
                </c:pt>
                <c:pt idx="82">
                  <c:v>-25665.664460014203</c:v>
                </c:pt>
                <c:pt idx="83">
                  <c:v>-8785.6413007791853</c:v>
                </c:pt>
                <c:pt idx="84">
                  <c:v>-20848.267937812809</c:v>
                </c:pt>
              </c:numCache>
            </c:numRef>
          </c:yVal>
          <c:smooth val="0"/>
          <c:extLst>
            <c:ext xmlns:c16="http://schemas.microsoft.com/office/drawing/2014/chart" uri="{C3380CC4-5D6E-409C-BE32-E72D297353CC}">
              <c16:uniqueId val="{00000001-0EAF-6A4B-BEAF-72AA245933B2}"/>
            </c:ext>
          </c:extLst>
        </c:ser>
        <c:dLbls>
          <c:showLegendKey val="0"/>
          <c:showVal val="0"/>
          <c:showCatName val="0"/>
          <c:showSerName val="0"/>
          <c:showPercent val="0"/>
          <c:showBubbleSize val="0"/>
        </c:dLbls>
        <c:axId val="533591552"/>
        <c:axId val="533680752"/>
      </c:scatterChart>
      <c:valAx>
        <c:axId val="533591552"/>
        <c:scaling>
          <c:orientation val="minMax"/>
        </c:scaling>
        <c:delete val="0"/>
        <c:axPos val="b"/>
        <c:title>
          <c:tx>
            <c:rich>
              <a:bodyPr/>
              <a:lstStyle/>
              <a:p>
                <a:pPr>
                  <a:defRPr/>
                </a:pPr>
                <a:r>
                  <a:rPr lang="en-US"/>
                  <a:t>X</a:t>
                </a:r>
                <a:r>
                  <a:rPr lang="en-US" baseline="0"/>
                  <a:t> - О</a:t>
                </a:r>
                <a:r>
                  <a:rPr lang="ru-RU" baseline="0"/>
                  <a:t>бъем платных услуг на душу населения по субъектам РФ за 2024 год, руб.</a:t>
                </a:r>
                <a:endParaRPr lang="en"/>
              </a:p>
            </c:rich>
          </c:tx>
          <c:overlay val="0"/>
        </c:title>
        <c:numFmt formatCode="General" sourceLinked="1"/>
        <c:majorTickMark val="out"/>
        <c:minorTickMark val="none"/>
        <c:tickLblPos val="nextTo"/>
        <c:crossAx val="533680752"/>
        <c:crosses val="autoZero"/>
        <c:crossBetween val="midCat"/>
      </c:valAx>
      <c:valAx>
        <c:axId val="533680752"/>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5335915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
              <a:t>X^2 </a:t>
            </a:r>
            <a:r>
              <a:rPr lang="ru-RU"/>
              <a:t>График остатков</a:t>
            </a:r>
          </a:p>
        </c:rich>
      </c:tx>
      <c:overlay val="0"/>
    </c:title>
    <c:autoTitleDeleted val="0"/>
    <c:plotArea>
      <c:layout/>
      <c:scatterChart>
        <c:scatterStyle val="lineMarker"/>
        <c:varyColors val="0"/>
        <c:ser>
          <c:idx val="0"/>
          <c:order val="0"/>
          <c:spPr>
            <a:ln w="19050">
              <a:noFill/>
            </a:ln>
          </c:spPr>
          <c:xVal>
            <c:numRef>
              <c:f>Парабола!$A$2:$A$86</c:f>
              <c:numCache>
                <c:formatCode>_-* #\ ##0_-;\-* #\ ##0_-;_-* "-"??_-;_-@_-</c:formatCode>
                <c:ptCount val="85"/>
                <c:pt idx="0">
                  <c:v>5951968201</c:v>
                </c:pt>
                <c:pt idx="1">
                  <c:v>8179755364</c:v>
                </c:pt>
                <c:pt idx="2">
                  <c:v>11459060209</c:v>
                </c:pt>
                <c:pt idx="3">
                  <c:v>3524678161</c:v>
                </c:pt>
                <c:pt idx="4">
                  <c:v>6981605136</c:v>
                </c:pt>
                <c:pt idx="5">
                  <c:v>4948559716</c:v>
                </c:pt>
                <c:pt idx="6">
                  <c:v>6178903236</c:v>
                </c:pt>
                <c:pt idx="7">
                  <c:v>7633866384</c:v>
                </c:pt>
                <c:pt idx="8">
                  <c:v>7380184464</c:v>
                </c:pt>
                <c:pt idx="9">
                  <c:v>5897779209</c:v>
                </c:pt>
                <c:pt idx="10">
                  <c:v>7571610225</c:v>
                </c:pt>
                <c:pt idx="11">
                  <c:v>6906441025</c:v>
                </c:pt>
                <c:pt idx="12">
                  <c:v>5712941056</c:v>
                </c:pt>
                <c:pt idx="13">
                  <c:v>6288807204</c:v>
                </c:pt>
                <c:pt idx="14">
                  <c:v>5273373924</c:v>
                </c:pt>
                <c:pt idx="15">
                  <c:v>13087588801</c:v>
                </c:pt>
                <c:pt idx="16">
                  <c:v>6438618081</c:v>
                </c:pt>
                <c:pt idx="17">
                  <c:v>15771089889</c:v>
                </c:pt>
                <c:pt idx="18">
                  <c:v>4535618409</c:v>
                </c:pt>
                <c:pt idx="19">
                  <c:v>7010880361</c:v>
                </c:pt>
                <c:pt idx="20">
                  <c:v>6916916224</c:v>
                </c:pt>
                <c:pt idx="21">
                  <c:v>5220496009</c:v>
                </c:pt>
                <c:pt idx="22">
                  <c:v>34079744449</c:v>
                </c:pt>
                <c:pt idx="23">
                  <c:v>11728240209</c:v>
                </c:pt>
                <c:pt idx="24">
                  <c:v>3170365636</c:v>
                </c:pt>
                <c:pt idx="25">
                  <c:v>5028369921</c:v>
                </c:pt>
                <c:pt idx="26">
                  <c:v>6315321961</c:v>
                </c:pt>
                <c:pt idx="27">
                  <c:v>8614624225</c:v>
                </c:pt>
                <c:pt idx="28">
                  <c:v>17038080900</c:v>
                </c:pt>
                <c:pt idx="29">
                  <c:v>12229484569</c:v>
                </c:pt>
                <c:pt idx="30">
                  <c:v>19785516921</c:v>
                </c:pt>
                <c:pt idx="31">
                  <c:v>9032411521</c:v>
                </c:pt>
                <c:pt idx="32">
                  <c:v>11117593600</c:v>
                </c:pt>
                <c:pt idx="33">
                  <c:v>6410564356</c:v>
                </c:pt>
                <c:pt idx="34">
                  <c:v>12901552225</c:v>
                </c:pt>
                <c:pt idx="35">
                  <c:v>8518736209</c:v>
                </c:pt>
                <c:pt idx="36">
                  <c:v>5538187561</c:v>
                </c:pt>
                <c:pt idx="37">
                  <c:v>6011521156</c:v>
                </c:pt>
                <c:pt idx="38">
                  <c:v>5823979225</c:v>
                </c:pt>
                <c:pt idx="39">
                  <c:v>11598213025</c:v>
                </c:pt>
                <c:pt idx="40">
                  <c:v>18084332484</c:v>
                </c:pt>
                <c:pt idx="41">
                  <c:v>4976597025</c:v>
                </c:pt>
                <c:pt idx="42">
                  <c:v>3813062500</c:v>
                </c:pt>
                <c:pt idx="43">
                  <c:v>7100084644</c:v>
                </c:pt>
                <c:pt idx="44">
                  <c:v>8220504889</c:v>
                </c:pt>
                <c:pt idx="45">
                  <c:v>5407543296</c:v>
                </c:pt>
                <c:pt idx="46">
                  <c:v>4108810000</c:v>
                </c:pt>
                <c:pt idx="47">
                  <c:v>615833856</c:v>
                </c:pt>
                <c:pt idx="48">
                  <c:v>1613307556</c:v>
                </c:pt>
                <c:pt idx="49">
                  <c:v>14465594529</c:v>
                </c:pt>
                <c:pt idx="50">
                  <c:v>9294309649</c:v>
                </c:pt>
                <c:pt idx="51">
                  <c:v>7996294084</c:v>
                </c:pt>
                <c:pt idx="52">
                  <c:v>2734662436</c:v>
                </c:pt>
                <c:pt idx="53">
                  <c:v>2717119876</c:v>
                </c:pt>
                <c:pt idx="54">
                  <c:v>14131741129</c:v>
                </c:pt>
                <c:pt idx="55">
                  <c:v>3435132100</c:v>
                </c:pt>
                <c:pt idx="56">
                  <c:v>13010824225</c:v>
                </c:pt>
                <c:pt idx="57">
                  <c:v>3408574689</c:v>
                </c:pt>
                <c:pt idx="58">
                  <c:v>4185831204</c:v>
                </c:pt>
                <c:pt idx="59">
                  <c:v>11387664369</c:v>
                </c:pt>
                <c:pt idx="60">
                  <c:v>5641812544</c:v>
                </c:pt>
                <c:pt idx="61">
                  <c:v>7583100561</c:v>
                </c:pt>
                <c:pt idx="62">
                  <c:v>4306509376</c:v>
                </c:pt>
                <c:pt idx="63">
                  <c:v>17954392036</c:v>
                </c:pt>
                <c:pt idx="64">
                  <c:v>25210770841</c:v>
                </c:pt>
                <c:pt idx="65">
                  <c:v>3599520016</c:v>
                </c:pt>
                <c:pt idx="66">
                  <c:v>8103600400</c:v>
                </c:pt>
                <c:pt idx="67">
                  <c:v>5555913444</c:v>
                </c:pt>
                <c:pt idx="68">
                  <c:v>5809183524</c:v>
                </c:pt>
                <c:pt idx="69">
                  <c:v>5015189124</c:v>
                </c:pt>
                <c:pt idx="70">
                  <c:v>6260765625</c:v>
                </c:pt>
                <c:pt idx="71">
                  <c:v>14170759681</c:v>
                </c:pt>
                <c:pt idx="72">
                  <c:v>7246946641</c:v>
                </c:pt>
                <c:pt idx="73">
                  <c:v>6103203129</c:v>
                </c:pt>
                <c:pt idx="74">
                  <c:v>18447344041</c:v>
                </c:pt>
                <c:pt idx="75">
                  <c:v>12658950144</c:v>
                </c:pt>
                <c:pt idx="76">
                  <c:v>8238466756</c:v>
                </c:pt>
                <c:pt idx="77">
                  <c:v>3255501249</c:v>
                </c:pt>
                <c:pt idx="78">
                  <c:v>5319076624</c:v>
                </c:pt>
                <c:pt idx="79">
                  <c:v>11404958436</c:v>
                </c:pt>
                <c:pt idx="80">
                  <c:v>18168613681</c:v>
                </c:pt>
                <c:pt idx="81">
                  <c:v>7072137216</c:v>
                </c:pt>
                <c:pt idx="82">
                  <c:v>94290756624</c:v>
                </c:pt>
                <c:pt idx="83">
                  <c:v>30329267409</c:v>
                </c:pt>
                <c:pt idx="84">
                  <c:v>8882685504</c:v>
                </c:pt>
              </c:numCache>
            </c:numRef>
          </c:xVal>
          <c:yVal>
            <c:numRef>
              <c:f>Парабола!$G$27:$G$111</c:f>
              <c:numCache>
                <c:formatCode>General</c:formatCode>
                <c:ptCount val="85"/>
                <c:pt idx="0">
                  <c:v>-13063.089130976063</c:v>
                </c:pt>
                <c:pt idx="1">
                  <c:v>9567.8766850035172</c:v>
                </c:pt>
                <c:pt idx="2">
                  <c:v>-1753.3786672277347</c:v>
                </c:pt>
                <c:pt idx="3">
                  <c:v>7217.7825707257653</c:v>
                </c:pt>
                <c:pt idx="4">
                  <c:v>-6984.9626090184611</c:v>
                </c:pt>
                <c:pt idx="5">
                  <c:v>-4986.2878050749787</c:v>
                </c:pt>
                <c:pt idx="6">
                  <c:v>-4647.6426385110099</c:v>
                </c:pt>
                <c:pt idx="7">
                  <c:v>-14155.195154940389</c:v>
                </c:pt>
                <c:pt idx="8">
                  <c:v>-2922.8364403322921</c:v>
                </c:pt>
                <c:pt idx="9">
                  <c:v>-4741.401961788637</c:v>
                </c:pt>
                <c:pt idx="10">
                  <c:v>3627.4660058021545</c:v>
                </c:pt>
                <c:pt idx="11">
                  <c:v>12693.370758716657</c:v>
                </c:pt>
                <c:pt idx="12">
                  <c:v>-17512.673652317462</c:v>
                </c:pt>
                <c:pt idx="13">
                  <c:v>17297.624843888945</c:v>
                </c:pt>
                <c:pt idx="14">
                  <c:v>-18607.551630938673</c:v>
                </c:pt>
                <c:pt idx="15">
                  <c:v>-26026.718324226065</c:v>
                </c:pt>
                <c:pt idx="16">
                  <c:v>3684.8277444210544</c:v>
                </c:pt>
                <c:pt idx="17">
                  <c:v>33567.232411145465</c:v>
                </c:pt>
                <c:pt idx="18">
                  <c:v>-12795.976604653639</c:v>
                </c:pt>
                <c:pt idx="19">
                  <c:v>5274.7782925119245</c:v>
                </c:pt>
                <c:pt idx="20">
                  <c:v>-14285.014946154217</c:v>
                </c:pt>
                <c:pt idx="21">
                  <c:v>-7953.8873919202961</c:v>
                </c:pt>
                <c:pt idx="22">
                  <c:v>-57089.769895634439</c:v>
                </c:pt>
                <c:pt idx="23">
                  <c:v>6096.5435060454765</c:v>
                </c:pt>
                <c:pt idx="24">
                  <c:v>10209.393702723297</c:v>
                </c:pt>
                <c:pt idx="25">
                  <c:v>1244.1679520621037</c:v>
                </c:pt>
                <c:pt idx="26">
                  <c:v>12052.805595686572</c:v>
                </c:pt>
                <c:pt idx="27">
                  <c:v>-11298.004652477553</c:v>
                </c:pt>
                <c:pt idx="28">
                  <c:v>54974.46957640443</c:v>
                </c:pt>
                <c:pt idx="29">
                  <c:v>8872.8261837799218</c:v>
                </c:pt>
                <c:pt idx="30">
                  <c:v>6931.5561184696999</c:v>
                </c:pt>
                <c:pt idx="31">
                  <c:v>54695.855635228101</c:v>
                </c:pt>
                <c:pt idx="32">
                  <c:v>-17612.152511134453</c:v>
                </c:pt>
                <c:pt idx="33">
                  <c:v>-7415.1457963701978</c:v>
                </c:pt>
                <c:pt idx="34">
                  <c:v>-15375.631720954974</c:v>
                </c:pt>
                <c:pt idx="35">
                  <c:v>-13301.397246411216</c:v>
                </c:pt>
                <c:pt idx="36">
                  <c:v>-2345.9575332522654</c:v>
                </c:pt>
                <c:pt idx="37">
                  <c:v>-12480.680178048104</c:v>
                </c:pt>
                <c:pt idx="38">
                  <c:v>-10285.288472084765</c:v>
                </c:pt>
                <c:pt idx="39">
                  <c:v>-13713.188233687542</c:v>
                </c:pt>
                <c:pt idx="40">
                  <c:v>-15141.366756950229</c:v>
                </c:pt>
                <c:pt idx="41">
                  <c:v>-8631.6397432790254</c:v>
                </c:pt>
                <c:pt idx="42">
                  <c:v>-827.47781951002253</c:v>
                </c:pt>
                <c:pt idx="43">
                  <c:v>-9762.5797579078935</c:v>
                </c:pt>
                <c:pt idx="44">
                  <c:v>-10043.242439528505</c:v>
                </c:pt>
                <c:pt idx="45">
                  <c:v>7152.5339407445135</c:v>
                </c:pt>
                <c:pt idx="46">
                  <c:v>-14245.278221084998</c:v>
                </c:pt>
                <c:pt idx="47">
                  <c:v>13154.023787715116</c:v>
                </c:pt>
                <c:pt idx="48">
                  <c:v>8907.4330077451596</c:v>
                </c:pt>
                <c:pt idx="49">
                  <c:v>-21887.402204605401</c:v>
                </c:pt>
                <c:pt idx="50">
                  <c:v>7451.5916744793067</c:v>
                </c:pt>
                <c:pt idx="51">
                  <c:v>-21479.745894179519</c:v>
                </c:pt>
                <c:pt idx="52">
                  <c:v>11096.089964161096</c:v>
                </c:pt>
                <c:pt idx="53">
                  <c:v>7361.8201200219701</c:v>
                </c:pt>
                <c:pt idx="54">
                  <c:v>31584.769981133548</c:v>
                </c:pt>
                <c:pt idx="55">
                  <c:v>-6594.4874826854721</c:v>
                </c:pt>
                <c:pt idx="56">
                  <c:v>-16669.563075265556</c:v>
                </c:pt>
                <c:pt idx="57">
                  <c:v>12956.024368048355</c:v>
                </c:pt>
                <c:pt idx="58">
                  <c:v>12287.477318846002</c:v>
                </c:pt>
                <c:pt idx="59">
                  <c:v>-25468.313992758762</c:v>
                </c:pt>
                <c:pt idx="60">
                  <c:v>-2443.9872564362304</c:v>
                </c:pt>
                <c:pt idx="61">
                  <c:v>-4819.2386361716199</c:v>
                </c:pt>
                <c:pt idx="62">
                  <c:v>-1388.3911308135066</c:v>
                </c:pt>
                <c:pt idx="63">
                  <c:v>26560.376841649442</c:v>
                </c:pt>
                <c:pt idx="64">
                  <c:v>-37252.712067470187</c:v>
                </c:pt>
                <c:pt idx="65">
                  <c:v>4607.4369396581969</c:v>
                </c:pt>
                <c:pt idx="66">
                  <c:v>-20007.171510262371</c:v>
                </c:pt>
                <c:pt idx="67">
                  <c:v>-11321.889750469054</c:v>
                </c:pt>
                <c:pt idx="68">
                  <c:v>-2978.5598905674997</c:v>
                </c:pt>
                <c:pt idx="69">
                  <c:v>14708.516147164228</c:v>
                </c:pt>
                <c:pt idx="70">
                  <c:v>4135.52735412521</c:v>
                </c:pt>
                <c:pt idx="71">
                  <c:v>26527.829907162057</c:v>
                </c:pt>
                <c:pt idx="72">
                  <c:v>-6323.738344023237</c:v>
                </c:pt>
                <c:pt idx="73">
                  <c:v>-9286.3491551980114</c:v>
                </c:pt>
                <c:pt idx="74">
                  <c:v>-14488.101017170207</c:v>
                </c:pt>
                <c:pt idx="75">
                  <c:v>33244.425858966206</c:v>
                </c:pt>
                <c:pt idx="76">
                  <c:v>-6742.2484442832647</c:v>
                </c:pt>
                <c:pt idx="77">
                  <c:v>-11734.283712363969</c:v>
                </c:pt>
                <c:pt idx="78">
                  <c:v>-4496.2063563576012</c:v>
                </c:pt>
                <c:pt idx="79">
                  <c:v>100560.44007305347</c:v>
                </c:pt>
                <c:pt idx="80">
                  <c:v>59648.726111536598</c:v>
                </c:pt>
                <c:pt idx="81">
                  <c:v>-7171.7626476185687</c:v>
                </c:pt>
                <c:pt idx="82">
                  <c:v>8394.6910650613718</c:v>
                </c:pt>
                <c:pt idx="83">
                  <c:v>-12738.989738657809</c:v>
                </c:pt>
                <c:pt idx="84">
                  <c:v>-23049.75180013325</c:v>
                </c:pt>
              </c:numCache>
            </c:numRef>
          </c:yVal>
          <c:smooth val="0"/>
          <c:extLst>
            <c:ext xmlns:c16="http://schemas.microsoft.com/office/drawing/2014/chart" uri="{C3380CC4-5D6E-409C-BE32-E72D297353CC}">
              <c16:uniqueId val="{00000001-8D26-3044-A391-D7673A772987}"/>
            </c:ext>
          </c:extLst>
        </c:ser>
        <c:dLbls>
          <c:showLegendKey val="0"/>
          <c:showVal val="0"/>
          <c:showCatName val="0"/>
          <c:showSerName val="0"/>
          <c:showPercent val="0"/>
          <c:showBubbleSize val="0"/>
        </c:dLbls>
        <c:axId val="536713472"/>
        <c:axId val="536831552"/>
      </c:scatterChart>
      <c:valAx>
        <c:axId val="536713472"/>
        <c:scaling>
          <c:orientation val="minMax"/>
        </c:scaling>
        <c:delete val="0"/>
        <c:axPos val="b"/>
        <c:title>
          <c:tx>
            <c:rich>
              <a:bodyPr/>
              <a:lstStyle/>
              <a:p>
                <a:pPr>
                  <a:defRPr/>
                </a:pPr>
                <a:r>
                  <a:rPr lang="en"/>
                  <a:t>X^2</a:t>
                </a:r>
              </a:p>
            </c:rich>
          </c:tx>
          <c:overlay val="0"/>
        </c:title>
        <c:numFmt formatCode="_-* #\ ##0_-;\-* #\ ##0_-;_-* &quot;-&quot;??_-;_-@_-" sourceLinked="1"/>
        <c:majorTickMark val="out"/>
        <c:minorTickMark val="none"/>
        <c:tickLblPos val="nextTo"/>
        <c:crossAx val="536831552"/>
        <c:crosses val="autoZero"/>
        <c:crossBetween val="midCat"/>
      </c:valAx>
      <c:valAx>
        <c:axId val="536831552"/>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53671347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
              <a:t>X </a:t>
            </a:r>
            <a:r>
              <a:rPr lang="ru-RU"/>
              <a:t>График остатков</a:t>
            </a:r>
          </a:p>
        </c:rich>
      </c:tx>
      <c:overlay val="0"/>
    </c:title>
    <c:autoTitleDeleted val="0"/>
    <c:plotArea>
      <c:layout/>
      <c:scatterChart>
        <c:scatterStyle val="lineMarker"/>
        <c:varyColors val="0"/>
        <c:ser>
          <c:idx val="0"/>
          <c:order val="0"/>
          <c:spPr>
            <a:ln w="19050">
              <a:noFill/>
            </a:ln>
          </c:spPr>
          <c:xVal>
            <c:numRef>
              <c:f>Парабола!$B$2:$B$86</c:f>
              <c:numCache>
                <c:formatCode>_-* #\ ##0_-;\-* #\ ##0_-;_-* "-"??_-;_-@_-</c:formatCode>
                <c:ptCount val="85"/>
                <c:pt idx="0">
                  <c:v>77149</c:v>
                </c:pt>
                <c:pt idx="1">
                  <c:v>90442</c:v>
                </c:pt>
                <c:pt idx="2">
                  <c:v>107047</c:v>
                </c:pt>
                <c:pt idx="3">
                  <c:v>59369</c:v>
                </c:pt>
                <c:pt idx="4">
                  <c:v>83556</c:v>
                </c:pt>
                <c:pt idx="5">
                  <c:v>70346</c:v>
                </c:pt>
                <c:pt idx="6">
                  <c:v>78606</c:v>
                </c:pt>
                <c:pt idx="7">
                  <c:v>87372</c:v>
                </c:pt>
                <c:pt idx="8">
                  <c:v>85908</c:v>
                </c:pt>
                <c:pt idx="9">
                  <c:v>76797</c:v>
                </c:pt>
                <c:pt idx="10">
                  <c:v>87015</c:v>
                </c:pt>
                <c:pt idx="11">
                  <c:v>83105</c:v>
                </c:pt>
                <c:pt idx="12">
                  <c:v>75584</c:v>
                </c:pt>
                <c:pt idx="13">
                  <c:v>79302</c:v>
                </c:pt>
                <c:pt idx="14">
                  <c:v>72618</c:v>
                </c:pt>
                <c:pt idx="15">
                  <c:v>114401</c:v>
                </c:pt>
                <c:pt idx="16">
                  <c:v>80241</c:v>
                </c:pt>
                <c:pt idx="17">
                  <c:v>125583</c:v>
                </c:pt>
                <c:pt idx="18">
                  <c:v>67347</c:v>
                </c:pt>
                <c:pt idx="19">
                  <c:v>83731</c:v>
                </c:pt>
                <c:pt idx="20">
                  <c:v>83168</c:v>
                </c:pt>
                <c:pt idx="21">
                  <c:v>72253</c:v>
                </c:pt>
                <c:pt idx="22">
                  <c:v>184607</c:v>
                </c:pt>
                <c:pt idx="23">
                  <c:v>108297</c:v>
                </c:pt>
                <c:pt idx="24">
                  <c:v>56306</c:v>
                </c:pt>
                <c:pt idx="25">
                  <c:v>70911</c:v>
                </c:pt>
                <c:pt idx="26">
                  <c:v>79469</c:v>
                </c:pt>
                <c:pt idx="27">
                  <c:v>92815</c:v>
                </c:pt>
                <c:pt idx="28">
                  <c:v>130530</c:v>
                </c:pt>
                <c:pt idx="29">
                  <c:v>110587</c:v>
                </c:pt>
                <c:pt idx="30">
                  <c:v>140661</c:v>
                </c:pt>
                <c:pt idx="31">
                  <c:v>95039</c:v>
                </c:pt>
                <c:pt idx="32">
                  <c:v>105440</c:v>
                </c:pt>
                <c:pt idx="33">
                  <c:v>80066</c:v>
                </c:pt>
                <c:pt idx="34">
                  <c:v>113585</c:v>
                </c:pt>
                <c:pt idx="35">
                  <c:v>92297</c:v>
                </c:pt>
                <c:pt idx="36">
                  <c:v>74419</c:v>
                </c:pt>
                <c:pt idx="37">
                  <c:v>77534</c:v>
                </c:pt>
                <c:pt idx="38">
                  <c:v>76315</c:v>
                </c:pt>
                <c:pt idx="39">
                  <c:v>107695</c:v>
                </c:pt>
                <c:pt idx="40">
                  <c:v>134478</c:v>
                </c:pt>
                <c:pt idx="41">
                  <c:v>70545</c:v>
                </c:pt>
                <c:pt idx="42">
                  <c:v>61750</c:v>
                </c:pt>
                <c:pt idx="43">
                  <c:v>84262</c:v>
                </c:pt>
                <c:pt idx="44">
                  <c:v>90667</c:v>
                </c:pt>
                <c:pt idx="45">
                  <c:v>73536</c:v>
                </c:pt>
                <c:pt idx="46">
                  <c:v>64100</c:v>
                </c:pt>
                <c:pt idx="47">
                  <c:v>24816</c:v>
                </c:pt>
                <c:pt idx="48">
                  <c:v>40166</c:v>
                </c:pt>
                <c:pt idx="49">
                  <c:v>120273</c:v>
                </c:pt>
                <c:pt idx="50">
                  <c:v>96407</c:v>
                </c:pt>
                <c:pt idx="51">
                  <c:v>89422</c:v>
                </c:pt>
                <c:pt idx="52">
                  <c:v>52294</c:v>
                </c:pt>
                <c:pt idx="53">
                  <c:v>52126</c:v>
                </c:pt>
                <c:pt idx="54">
                  <c:v>118877</c:v>
                </c:pt>
                <c:pt idx="55">
                  <c:v>58610</c:v>
                </c:pt>
                <c:pt idx="56">
                  <c:v>114065</c:v>
                </c:pt>
                <c:pt idx="57">
                  <c:v>58383</c:v>
                </c:pt>
                <c:pt idx="58">
                  <c:v>64698</c:v>
                </c:pt>
                <c:pt idx="59">
                  <c:v>106713</c:v>
                </c:pt>
                <c:pt idx="60">
                  <c:v>75112</c:v>
                </c:pt>
                <c:pt idx="61">
                  <c:v>87081</c:v>
                </c:pt>
                <c:pt idx="62">
                  <c:v>65624</c:v>
                </c:pt>
                <c:pt idx="63">
                  <c:v>133994</c:v>
                </c:pt>
                <c:pt idx="64">
                  <c:v>158779</c:v>
                </c:pt>
                <c:pt idx="65">
                  <c:v>59996</c:v>
                </c:pt>
                <c:pt idx="66">
                  <c:v>90020</c:v>
                </c:pt>
                <c:pt idx="67">
                  <c:v>74538</c:v>
                </c:pt>
                <c:pt idx="68">
                  <c:v>76218</c:v>
                </c:pt>
                <c:pt idx="69">
                  <c:v>70818</c:v>
                </c:pt>
                <c:pt idx="70">
                  <c:v>79125</c:v>
                </c:pt>
                <c:pt idx="71">
                  <c:v>119041</c:v>
                </c:pt>
                <c:pt idx="72">
                  <c:v>85129</c:v>
                </c:pt>
                <c:pt idx="73">
                  <c:v>78123</c:v>
                </c:pt>
                <c:pt idx="74">
                  <c:v>135821</c:v>
                </c:pt>
                <c:pt idx="75">
                  <c:v>112512</c:v>
                </c:pt>
                <c:pt idx="76">
                  <c:v>90766</c:v>
                </c:pt>
                <c:pt idx="77">
                  <c:v>57057</c:v>
                </c:pt>
                <c:pt idx="78">
                  <c:v>72932</c:v>
                </c:pt>
                <c:pt idx="79">
                  <c:v>106794</c:v>
                </c:pt>
                <c:pt idx="80">
                  <c:v>134791</c:v>
                </c:pt>
                <c:pt idx="81">
                  <c:v>84096</c:v>
                </c:pt>
                <c:pt idx="82">
                  <c:v>307068</c:v>
                </c:pt>
                <c:pt idx="83">
                  <c:v>174153</c:v>
                </c:pt>
                <c:pt idx="84">
                  <c:v>94248</c:v>
                </c:pt>
              </c:numCache>
            </c:numRef>
          </c:xVal>
          <c:yVal>
            <c:numRef>
              <c:f>Парабола!$G$27:$G$111</c:f>
              <c:numCache>
                <c:formatCode>General</c:formatCode>
                <c:ptCount val="85"/>
                <c:pt idx="0">
                  <c:v>-13063.089130976063</c:v>
                </c:pt>
                <c:pt idx="1">
                  <c:v>9567.8766850035172</c:v>
                </c:pt>
                <c:pt idx="2">
                  <c:v>-1753.3786672277347</c:v>
                </c:pt>
                <c:pt idx="3">
                  <c:v>7217.7825707257653</c:v>
                </c:pt>
                <c:pt idx="4">
                  <c:v>-6984.9626090184611</c:v>
                </c:pt>
                <c:pt idx="5">
                  <c:v>-4986.2878050749787</c:v>
                </c:pt>
                <c:pt idx="6">
                  <c:v>-4647.6426385110099</c:v>
                </c:pt>
                <c:pt idx="7">
                  <c:v>-14155.195154940389</c:v>
                </c:pt>
                <c:pt idx="8">
                  <c:v>-2922.8364403322921</c:v>
                </c:pt>
                <c:pt idx="9">
                  <c:v>-4741.401961788637</c:v>
                </c:pt>
                <c:pt idx="10">
                  <c:v>3627.4660058021545</c:v>
                </c:pt>
                <c:pt idx="11">
                  <c:v>12693.370758716657</c:v>
                </c:pt>
                <c:pt idx="12">
                  <c:v>-17512.673652317462</c:v>
                </c:pt>
                <c:pt idx="13">
                  <c:v>17297.624843888945</c:v>
                </c:pt>
                <c:pt idx="14">
                  <c:v>-18607.551630938673</c:v>
                </c:pt>
                <c:pt idx="15">
                  <c:v>-26026.718324226065</c:v>
                </c:pt>
                <c:pt idx="16">
                  <c:v>3684.8277444210544</c:v>
                </c:pt>
                <c:pt idx="17">
                  <c:v>33567.232411145465</c:v>
                </c:pt>
                <c:pt idx="18">
                  <c:v>-12795.976604653639</c:v>
                </c:pt>
                <c:pt idx="19">
                  <c:v>5274.7782925119245</c:v>
                </c:pt>
                <c:pt idx="20">
                  <c:v>-14285.014946154217</c:v>
                </c:pt>
                <c:pt idx="21">
                  <c:v>-7953.8873919202961</c:v>
                </c:pt>
                <c:pt idx="22">
                  <c:v>-57089.769895634439</c:v>
                </c:pt>
                <c:pt idx="23">
                  <c:v>6096.5435060454765</c:v>
                </c:pt>
                <c:pt idx="24">
                  <c:v>10209.393702723297</c:v>
                </c:pt>
                <c:pt idx="25">
                  <c:v>1244.1679520621037</c:v>
                </c:pt>
                <c:pt idx="26">
                  <c:v>12052.805595686572</c:v>
                </c:pt>
                <c:pt idx="27">
                  <c:v>-11298.004652477553</c:v>
                </c:pt>
                <c:pt idx="28">
                  <c:v>54974.46957640443</c:v>
                </c:pt>
                <c:pt idx="29">
                  <c:v>8872.8261837799218</c:v>
                </c:pt>
                <c:pt idx="30">
                  <c:v>6931.5561184696999</c:v>
                </c:pt>
                <c:pt idx="31">
                  <c:v>54695.855635228101</c:v>
                </c:pt>
                <c:pt idx="32">
                  <c:v>-17612.152511134453</c:v>
                </c:pt>
                <c:pt idx="33">
                  <c:v>-7415.1457963701978</c:v>
                </c:pt>
                <c:pt idx="34">
                  <c:v>-15375.631720954974</c:v>
                </c:pt>
                <c:pt idx="35">
                  <c:v>-13301.397246411216</c:v>
                </c:pt>
                <c:pt idx="36">
                  <c:v>-2345.9575332522654</c:v>
                </c:pt>
                <c:pt idx="37">
                  <c:v>-12480.680178048104</c:v>
                </c:pt>
                <c:pt idx="38">
                  <c:v>-10285.288472084765</c:v>
                </c:pt>
                <c:pt idx="39">
                  <c:v>-13713.188233687542</c:v>
                </c:pt>
                <c:pt idx="40">
                  <c:v>-15141.366756950229</c:v>
                </c:pt>
                <c:pt idx="41">
                  <c:v>-8631.6397432790254</c:v>
                </c:pt>
                <c:pt idx="42">
                  <c:v>-827.47781951002253</c:v>
                </c:pt>
                <c:pt idx="43">
                  <c:v>-9762.5797579078935</c:v>
                </c:pt>
                <c:pt idx="44">
                  <c:v>-10043.242439528505</c:v>
                </c:pt>
                <c:pt idx="45">
                  <c:v>7152.5339407445135</c:v>
                </c:pt>
                <c:pt idx="46">
                  <c:v>-14245.278221084998</c:v>
                </c:pt>
                <c:pt idx="47">
                  <c:v>13154.023787715116</c:v>
                </c:pt>
                <c:pt idx="48">
                  <c:v>8907.4330077451596</c:v>
                </c:pt>
                <c:pt idx="49">
                  <c:v>-21887.402204605401</c:v>
                </c:pt>
                <c:pt idx="50">
                  <c:v>7451.5916744793067</c:v>
                </c:pt>
                <c:pt idx="51">
                  <c:v>-21479.745894179519</c:v>
                </c:pt>
                <c:pt idx="52">
                  <c:v>11096.089964161096</c:v>
                </c:pt>
                <c:pt idx="53">
                  <c:v>7361.8201200219701</c:v>
                </c:pt>
                <c:pt idx="54">
                  <c:v>31584.769981133548</c:v>
                </c:pt>
                <c:pt idx="55">
                  <c:v>-6594.4874826854721</c:v>
                </c:pt>
                <c:pt idx="56">
                  <c:v>-16669.563075265556</c:v>
                </c:pt>
                <c:pt idx="57">
                  <c:v>12956.024368048355</c:v>
                </c:pt>
                <c:pt idx="58">
                  <c:v>12287.477318846002</c:v>
                </c:pt>
                <c:pt idx="59">
                  <c:v>-25468.313992758762</c:v>
                </c:pt>
                <c:pt idx="60">
                  <c:v>-2443.9872564362304</c:v>
                </c:pt>
                <c:pt idx="61">
                  <c:v>-4819.2386361716199</c:v>
                </c:pt>
                <c:pt idx="62">
                  <c:v>-1388.3911308135066</c:v>
                </c:pt>
                <c:pt idx="63">
                  <c:v>26560.376841649442</c:v>
                </c:pt>
                <c:pt idx="64">
                  <c:v>-37252.712067470187</c:v>
                </c:pt>
                <c:pt idx="65">
                  <c:v>4607.4369396581969</c:v>
                </c:pt>
                <c:pt idx="66">
                  <c:v>-20007.171510262371</c:v>
                </c:pt>
                <c:pt idx="67">
                  <c:v>-11321.889750469054</c:v>
                </c:pt>
                <c:pt idx="68">
                  <c:v>-2978.5598905674997</c:v>
                </c:pt>
                <c:pt idx="69">
                  <c:v>14708.516147164228</c:v>
                </c:pt>
                <c:pt idx="70">
                  <c:v>4135.52735412521</c:v>
                </c:pt>
                <c:pt idx="71">
                  <c:v>26527.829907162057</c:v>
                </c:pt>
                <c:pt idx="72">
                  <c:v>-6323.738344023237</c:v>
                </c:pt>
                <c:pt idx="73">
                  <c:v>-9286.3491551980114</c:v>
                </c:pt>
                <c:pt idx="74">
                  <c:v>-14488.101017170207</c:v>
                </c:pt>
                <c:pt idx="75">
                  <c:v>33244.425858966206</c:v>
                </c:pt>
                <c:pt idx="76">
                  <c:v>-6742.2484442832647</c:v>
                </c:pt>
                <c:pt idx="77">
                  <c:v>-11734.283712363969</c:v>
                </c:pt>
                <c:pt idx="78">
                  <c:v>-4496.2063563576012</c:v>
                </c:pt>
                <c:pt idx="79">
                  <c:v>100560.44007305347</c:v>
                </c:pt>
                <c:pt idx="80">
                  <c:v>59648.726111536598</c:v>
                </c:pt>
                <c:pt idx="81">
                  <c:v>-7171.7626476185687</c:v>
                </c:pt>
                <c:pt idx="82">
                  <c:v>8394.6910650613718</c:v>
                </c:pt>
                <c:pt idx="83">
                  <c:v>-12738.989738657809</c:v>
                </c:pt>
                <c:pt idx="84">
                  <c:v>-23049.75180013325</c:v>
                </c:pt>
              </c:numCache>
            </c:numRef>
          </c:yVal>
          <c:smooth val="0"/>
          <c:extLst>
            <c:ext xmlns:c16="http://schemas.microsoft.com/office/drawing/2014/chart" uri="{C3380CC4-5D6E-409C-BE32-E72D297353CC}">
              <c16:uniqueId val="{00000001-2B3D-CE4D-B36C-D1B2F38FDF00}"/>
            </c:ext>
          </c:extLst>
        </c:ser>
        <c:dLbls>
          <c:showLegendKey val="0"/>
          <c:showVal val="0"/>
          <c:showCatName val="0"/>
          <c:showSerName val="0"/>
          <c:showPercent val="0"/>
          <c:showBubbleSize val="0"/>
        </c:dLbls>
        <c:axId val="1707101920"/>
        <c:axId val="1707103568"/>
      </c:scatterChart>
      <c:valAx>
        <c:axId val="1707101920"/>
        <c:scaling>
          <c:orientation val="minMax"/>
        </c:scaling>
        <c:delete val="0"/>
        <c:axPos val="b"/>
        <c:title>
          <c:tx>
            <c:rich>
              <a:bodyPr/>
              <a:lstStyle/>
              <a:p>
                <a:pPr>
                  <a:defRPr/>
                </a:pPr>
                <a:r>
                  <a:rPr lang="en"/>
                  <a:t>X</a:t>
                </a:r>
              </a:p>
            </c:rich>
          </c:tx>
          <c:overlay val="0"/>
        </c:title>
        <c:numFmt formatCode="_-* #\ ##0_-;\-* #\ ##0_-;_-* &quot;-&quot;??_-;_-@_-" sourceLinked="1"/>
        <c:majorTickMark val="out"/>
        <c:minorTickMark val="none"/>
        <c:tickLblPos val="nextTo"/>
        <c:crossAx val="1707103568"/>
        <c:crosses val="autoZero"/>
        <c:crossBetween val="midCat"/>
      </c:valAx>
      <c:valAx>
        <c:axId val="1707103568"/>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17071019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
              <a:t>1/X </a:t>
            </a:r>
            <a:r>
              <a:rPr lang="ru-RU"/>
              <a:t>График остатков</a:t>
            </a:r>
          </a:p>
        </c:rich>
      </c:tx>
      <c:overlay val="0"/>
    </c:title>
    <c:autoTitleDeleted val="0"/>
    <c:plotArea>
      <c:layout/>
      <c:scatterChart>
        <c:scatterStyle val="lineMarker"/>
        <c:varyColors val="0"/>
        <c:ser>
          <c:idx val="0"/>
          <c:order val="0"/>
          <c:spPr>
            <a:ln w="19050">
              <a:noFill/>
            </a:ln>
          </c:spPr>
          <c:xVal>
            <c:numRef>
              <c:f>Гипербола!$A$2:$A$86</c:f>
              <c:numCache>
                <c:formatCode>_-* #\ ##0.0000000000000000_-;\-* #\ ##0.0000000000000000_-;_-* "-"??_-;_-@_-</c:formatCode>
                <c:ptCount val="85"/>
                <c:pt idx="0">
                  <c:v>1.296193080921334E-5</c:v>
                </c:pt>
                <c:pt idx="1">
                  <c:v>1.1056809889210765E-5</c:v>
                </c:pt>
                <c:pt idx="2">
                  <c:v>9.3416910329107768E-6</c:v>
                </c:pt>
                <c:pt idx="3">
                  <c:v>1.6843807374218867E-5</c:v>
                </c:pt>
                <c:pt idx="4">
                  <c:v>1.1968021446694433E-5</c:v>
                </c:pt>
                <c:pt idx="5">
                  <c:v>1.4215449350353964E-5</c:v>
                </c:pt>
                <c:pt idx="6">
                  <c:v>1.2721675190189045E-5</c:v>
                </c:pt>
                <c:pt idx="7">
                  <c:v>1.1445314288330358E-5</c:v>
                </c:pt>
                <c:pt idx="8">
                  <c:v>1.1640359454299949E-5</c:v>
                </c:pt>
                <c:pt idx="9">
                  <c:v>1.3021341979504408E-5</c:v>
                </c:pt>
                <c:pt idx="10">
                  <c:v>1.1492271447451589E-5</c:v>
                </c:pt>
                <c:pt idx="11">
                  <c:v>1.2032970338728116E-5</c:v>
                </c:pt>
                <c:pt idx="12">
                  <c:v>1.3230313293818797E-5</c:v>
                </c:pt>
                <c:pt idx="13">
                  <c:v>1.2610022445839954E-5</c:v>
                </c:pt>
                <c:pt idx="14">
                  <c:v>1.3770690462419785E-5</c:v>
                </c:pt>
                <c:pt idx="15">
                  <c:v>8.7411823323222699E-6</c:v>
                </c:pt>
                <c:pt idx="16">
                  <c:v>1.2462456848743162E-5</c:v>
                </c:pt>
                <c:pt idx="17">
                  <c:v>7.9628612152918783E-6</c:v>
                </c:pt>
                <c:pt idx="18">
                  <c:v>1.4848471349874531E-5</c:v>
                </c:pt>
                <c:pt idx="19">
                  <c:v>1.1943007965986314E-5</c:v>
                </c:pt>
                <c:pt idx="20">
                  <c:v>1.2023855328972683E-5</c:v>
                </c:pt>
                <c:pt idx="21">
                  <c:v>1.3840255767926591E-5</c:v>
                </c:pt>
                <c:pt idx="22">
                  <c:v>5.4169126847844343E-6</c:v>
                </c:pt>
                <c:pt idx="23">
                  <c:v>9.2338661274088851E-6</c:v>
                </c:pt>
                <c:pt idx="24">
                  <c:v>1.7760096614925586E-5</c:v>
                </c:pt>
                <c:pt idx="25">
                  <c:v>1.4102184428367955E-5</c:v>
                </c:pt>
                <c:pt idx="26">
                  <c:v>1.2583523134807283E-5</c:v>
                </c:pt>
                <c:pt idx="27">
                  <c:v>1.0774120562409093E-5</c:v>
                </c:pt>
                <c:pt idx="28">
                  <c:v>7.6610740825863789E-6</c:v>
                </c:pt>
                <c:pt idx="29">
                  <c:v>9.0426541998607424E-6</c:v>
                </c:pt>
                <c:pt idx="30">
                  <c:v>7.1092911325811699E-6</c:v>
                </c:pt>
                <c:pt idx="31">
                  <c:v>1.0521996233125349E-5</c:v>
                </c:pt>
                <c:pt idx="32">
                  <c:v>9.4840667678300455E-6</c:v>
                </c:pt>
                <c:pt idx="33">
                  <c:v>1.2489696000799341E-5</c:v>
                </c:pt>
                <c:pt idx="34">
                  <c:v>8.8039793986882066E-6</c:v>
                </c:pt>
                <c:pt idx="35">
                  <c:v>1.0834588339816029E-5</c:v>
                </c:pt>
                <c:pt idx="36">
                  <c:v>1.3437428613660491E-5</c:v>
                </c:pt>
                <c:pt idx="37">
                  <c:v>1.289756751876596E-5</c:v>
                </c:pt>
                <c:pt idx="38">
                  <c:v>1.3103583830177554E-5</c:v>
                </c:pt>
                <c:pt idx="39">
                  <c:v>9.2854821486605691E-6</c:v>
                </c:pt>
                <c:pt idx="40">
                  <c:v>7.4361605615788458E-6</c:v>
                </c:pt>
                <c:pt idx="41">
                  <c:v>1.41753490679708E-5</c:v>
                </c:pt>
                <c:pt idx="42">
                  <c:v>1.6194331983805668E-5</c:v>
                </c:pt>
                <c:pt idx="43">
                  <c:v>1.1867745840355083E-5</c:v>
                </c:pt>
                <c:pt idx="44">
                  <c:v>1.1029371215547002E-5</c:v>
                </c:pt>
                <c:pt idx="45">
                  <c:v>1.3598781549173194E-5</c:v>
                </c:pt>
                <c:pt idx="46">
                  <c:v>1.5600624024960997E-5</c:v>
                </c:pt>
                <c:pt idx="47">
                  <c:v>4.0296582849774339E-5</c:v>
                </c:pt>
                <c:pt idx="48">
                  <c:v>2.489667878305034E-5</c:v>
                </c:pt>
                <c:pt idx="49">
                  <c:v>8.3144180323098283E-6</c:v>
                </c:pt>
                <c:pt idx="50">
                  <c:v>1.0372690779715166E-5</c:v>
                </c:pt>
                <c:pt idx="51">
                  <c:v>1.1182930375075484E-5</c:v>
                </c:pt>
                <c:pt idx="52">
                  <c:v>1.9122652694381765E-5</c:v>
                </c:pt>
                <c:pt idx="53">
                  <c:v>1.9184284234355217E-5</c:v>
                </c:pt>
                <c:pt idx="54">
                  <c:v>8.4120561588869162E-6</c:v>
                </c:pt>
                <c:pt idx="55">
                  <c:v>1.7061934823408974E-5</c:v>
                </c:pt>
                <c:pt idx="56">
                  <c:v>8.7669311357559293E-6</c:v>
                </c:pt>
                <c:pt idx="57">
                  <c:v>1.7128273641299693E-5</c:v>
                </c:pt>
                <c:pt idx="58">
                  <c:v>1.545642832854184E-5</c:v>
                </c:pt>
                <c:pt idx="59">
                  <c:v>9.3709295024973523E-6</c:v>
                </c:pt>
                <c:pt idx="60">
                  <c:v>1.3313451911811694E-5</c:v>
                </c:pt>
                <c:pt idx="61">
                  <c:v>1.1483561282024781E-5</c:v>
                </c:pt>
                <c:pt idx="62">
                  <c:v>1.5238327441180057E-5</c:v>
                </c:pt>
                <c:pt idx="63">
                  <c:v>7.4630207322715941E-6</c:v>
                </c:pt>
                <c:pt idx="64">
                  <c:v>6.2980620862960471E-6</c:v>
                </c:pt>
                <c:pt idx="65">
                  <c:v>1.666777785185679E-5</c:v>
                </c:pt>
                <c:pt idx="66">
                  <c:v>1.1108642523883582E-5</c:v>
                </c:pt>
                <c:pt idx="67">
                  <c:v>1.3415975743915856E-5</c:v>
                </c:pt>
                <c:pt idx="68">
                  <c:v>1.312026030596447E-5</c:v>
                </c:pt>
                <c:pt idx="69">
                  <c:v>1.412070377587619E-5</c:v>
                </c:pt>
                <c:pt idx="70">
                  <c:v>1.2638230647709321E-5</c:v>
                </c:pt>
                <c:pt idx="71">
                  <c:v>8.4004670659688673E-6</c:v>
                </c:pt>
                <c:pt idx="72">
                  <c:v>1.1746878267100518E-5</c:v>
                </c:pt>
                <c:pt idx="73">
                  <c:v>1.2800327688388823E-5</c:v>
                </c:pt>
                <c:pt idx="74">
                  <c:v>7.3626316990745172E-6</c:v>
                </c:pt>
                <c:pt idx="75">
                  <c:v>8.8879408418657561E-6</c:v>
                </c:pt>
                <c:pt idx="76">
                  <c:v>1.1017341295198642E-5</c:v>
                </c:pt>
                <c:pt idx="77">
                  <c:v>1.7526333315807001E-5</c:v>
                </c:pt>
                <c:pt idx="78">
                  <c:v>1.3711402402237701E-5</c:v>
                </c:pt>
                <c:pt idx="79">
                  <c:v>9.3638219375620355E-6</c:v>
                </c:pt>
                <c:pt idx="80">
                  <c:v>7.4188929527935844E-6</c:v>
                </c:pt>
                <c:pt idx="81">
                  <c:v>1.1891171993911719E-5</c:v>
                </c:pt>
                <c:pt idx="82">
                  <c:v>3.2566076569359228E-6</c:v>
                </c:pt>
                <c:pt idx="83">
                  <c:v>5.7420773687504666E-6</c:v>
                </c:pt>
                <c:pt idx="84">
                  <c:v>1.0610304727951787E-5</c:v>
                </c:pt>
              </c:numCache>
            </c:numRef>
          </c:xVal>
          <c:yVal>
            <c:numRef>
              <c:f>Гипербола!$G$26:$G$110</c:f>
              <c:numCache>
                <c:formatCode>General</c:formatCode>
                <c:ptCount val="85"/>
                <c:pt idx="0">
                  <c:v>-18874.014601549556</c:v>
                </c:pt>
                <c:pt idx="1">
                  <c:v>6260.1378907414473</c:v>
                </c:pt>
                <c:pt idx="2">
                  <c:v>-340.89870096454979</c:v>
                </c:pt>
                <c:pt idx="3">
                  <c:v>1897.8198564758422</c:v>
                </c:pt>
                <c:pt idx="4">
                  <c:v>-11788.746299464896</c:v>
                </c:pt>
                <c:pt idx="5">
                  <c:v>-11307.384399350965</c:v>
                </c:pt>
                <c:pt idx="6">
                  <c:v>-10268.603081950612</c:v>
                </c:pt>
                <c:pt idx="7">
                  <c:v>-18174.677059735783</c:v>
                </c:pt>
                <c:pt idx="8">
                  <c:v>-7257.3266656681226</c:v>
                </c:pt>
                <c:pt idx="9">
                  <c:v>-10594.387636053521</c:v>
                </c:pt>
                <c:pt idx="10">
                  <c:v>-470.36407919695193</c:v>
                </c:pt>
                <c:pt idx="11">
                  <c:v>7805.1403882993909</c:v>
                </c:pt>
                <c:pt idx="12">
                  <c:v>-23498.603289928767</c:v>
                </c:pt>
                <c:pt idx="13">
                  <c:v>11776.078229137347</c:v>
                </c:pt>
                <c:pt idx="14">
                  <c:v>-24834.217746362934</c:v>
                </c:pt>
                <c:pt idx="15">
                  <c:v>-22225.41656635367</c:v>
                </c:pt>
                <c:pt idx="16">
                  <c:v>-1694.1422879865859</c:v>
                </c:pt>
                <c:pt idx="17">
                  <c:v>41169.649202161367</c:v>
                </c:pt>
                <c:pt idx="18">
                  <c:v>-19104.788062965847</c:v>
                </c:pt>
                <c:pt idx="19">
                  <c:v>504.25895544102241</c:v>
                </c:pt>
                <c:pt idx="20">
                  <c:v>-19161.560835510958</c:v>
                </c:pt>
                <c:pt idx="21">
                  <c:v>-14201.275567640405</c:v>
                </c:pt>
                <c:pt idx="22">
                  <c:v>-29984.941888883564</c:v>
                </c:pt>
                <c:pt idx="23">
                  <c:v>7906.0955060237902</c:v>
                </c:pt>
                <c:pt idx="24">
                  <c:v>5742.5954139396563</c:v>
                </c:pt>
                <c:pt idx="25">
                  <c:v>-5061.3101041040354</c:v>
                </c:pt>
                <c:pt idx="26">
                  <c:v>6555.9158933410508</c:v>
                </c:pt>
                <c:pt idx="27">
                  <c:v>-14013.031393569516</c:v>
                </c:pt>
                <c:pt idx="28">
                  <c:v>64291.059383425512</c:v>
                </c:pt>
                <c:pt idx="29">
                  <c:v>11420.076787113605</c:v>
                </c:pt>
                <c:pt idx="30">
                  <c:v>19768.005508313276</c:v>
                </c:pt>
                <c:pt idx="31">
                  <c:v>52566.101767544867</c:v>
                </c:pt>
                <c:pt idx="32">
                  <c:v>-16703.728080313449</c:v>
                </c:pt>
                <c:pt idx="33">
                  <c:v>-12821.406848430721</c:v>
                </c:pt>
                <c:pt idx="34">
                  <c:v>-11845.013744095224</c:v>
                </c:pt>
                <c:pt idx="35">
                  <c:v>-16148.729638955483</c:v>
                </c:pt>
                <c:pt idx="36">
                  <c:v>-8441.2739337325329</c:v>
                </c:pt>
                <c:pt idx="37">
                  <c:v>-18243.864617116109</c:v>
                </c:pt>
                <c:pt idx="38">
                  <c:v>-16193.357518179808</c:v>
                </c:pt>
                <c:pt idx="39">
                  <c:v>-12095.388389681975</c:v>
                </c:pt>
                <c:pt idx="40">
                  <c:v>-4452.1705931450997</c:v>
                </c:pt>
                <c:pt idx="41">
                  <c:v>-14947.849749448826</c:v>
                </c:pt>
                <c:pt idx="42">
                  <c:v>-6610.9999652506449</c:v>
                </c:pt>
                <c:pt idx="43">
                  <c:v>-14430.496276105056</c:v>
                </c:pt>
                <c:pt idx="44">
                  <c:v>-13296.291467889299</c:v>
                </c:pt>
                <c:pt idx="45">
                  <c:v>986.89776639605407</c:v>
                </c:pt>
                <c:pt idx="46">
                  <c:v>-20337.865432904342</c:v>
                </c:pt>
                <c:pt idx="47">
                  <c:v>61501.565726526838</c:v>
                </c:pt>
                <c:pt idx="48">
                  <c:v>16516.01740172923</c:v>
                </c:pt>
                <c:pt idx="49">
                  <c:v>-16107.666276662232</c:v>
                </c:pt>
                <c:pt idx="50">
                  <c:v>5694.8301790706464</c:v>
                </c:pt>
                <c:pt idx="51">
                  <c:v>-25031.225853594166</c:v>
                </c:pt>
                <c:pt idx="52">
                  <c:v>8270.4488422911963</c:v>
                </c:pt>
                <c:pt idx="53">
                  <c:v>4619.7980635095591</c:v>
                </c:pt>
                <c:pt idx="54">
                  <c:v>36889.910771096649</c:v>
                </c:pt>
                <c:pt idx="55">
                  <c:v>-11731.551543940441</c:v>
                </c:pt>
                <c:pt idx="56">
                  <c:v>-12979.864431753638</c:v>
                </c:pt>
                <c:pt idx="57">
                  <c:v>7877.1691869961433</c:v>
                </c:pt>
                <c:pt idx="58">
                  <c:v>6137.6342761115302</c:v>
                </c:pt>
                <c:pt idx="59">
                  <c:v>-24161.20980615195</c:v>
                </c:pt>
                <c:pt idx="60">
                  <c:v>-8476.4542920678505</c:v>
                </c:pt>
                <c:pt idx="61">
                  <c:v>-8902.6572890814277</c:v>
                </c:pt>
                <c:pt idx="62">
                  <c:v>-7610.9019437066017</c:v>
                </c:pt>
                <c:pt idx="63">
                  <c:v>37081.246781664333</c:v>
                </c:pt>
                <c:pt idx="64">
                  <c:v>-18251.379684655025</c:v>
                </c:pt>
                <c:pt idx="65">
                  <c:v>-850.39575660156697</c:v>
                </c:pt>
                <c:pt idx="66">
                  <c:v>-23416.592642024727</c:v>
                </c:pt>
                <c:pt idx="67">
                  <c:v>-17406.88517863478</c:v>
                </c:pt>
                <c:pt idx="68">
                  <c:v>-8897.3581626690866</c:v>
                </c:pt>
                <c:pt idx="69">
                  <c:v>8400.0986015290255</c:v>
                </c:pt>
                <c:pt idx="70">
                  <c:v>-1411.8160589938052</c:v>
                </c:pt>
                <c:pt idx="71">
                  <c:v>31888.60489779411</c:v>
                </c:pt>
                <c:pt idx="72">
                  <c:v>-10818.86335128815</c:v>
                </c:pt>
                <c:pt idx="73">
                  <c:v>-14973.056424780225</c:v>
                </c:pt>
                <c:pt idx="74">
                  <c:v>-3331.8976838792296</c:v>
                </c:pt>
                <c:pt idx="75">
                  <c:v>36420.996969335436</c:v>
                </c:pt>
                <c:pt idx="76">
                  <c:v>-9971.1305012657249</c:v>
                </c:pt>
                <c:pt idx="77">
                  <c:v>-16439.413333482327</c:v>
                </c:pt>
                <c:pt idx="78">
                  <c:v>-10703.416545436441</c:v>
                </c:pt>
                <c:pt idx="79">
                  <c:v>101893.07069131249</c:v>
                </c:pt>
                <c:pt idx="80">
                  <c:v>70446.774141368776</c:v>
                </c:pt>
                <c:pt idx="81">
                  <c:v>-11872.022118990542</c:v>
                </c:pt>
                <c:pt idx="82">
                  <c:v>54663.702116557353</c:v>
                </c:pt>
                <c:pt idx="83">
                  <c:v>11208.953052340643</c:v>
                </c:pt>
                <c:pt idx="84">
                  <c:v>-25390.768845437269</c:v>
                </c:pt>
              </c:numCache>
            </c:numRef>
          </c:yVal>
          <c:smooth val="0"/>
          <c:extLst>
            <c:ext xmlns:c16="http://schemas.microsoft.com/office/drawing/2014/chart" uri="{C3380CC4-5D6E-409C-BE32-E72D297353CC}">
              <c16:uniqueId val="{00000001-95DF-7A4E-9F24-2F121ADFF4CB}"/>
            </c:ext>
          </c:extLst>
        </c:ser>
        <c:dLbls>
          <c:showLegendKey val="0"/>
          <c:showVal val="0"/>
          <c:showCatName val="0"/>
          <c:showSerName val="0"/>
          <c:showPercent val="0"/>
          <c:showBubbleSize val="0"/>
        </c:dLbls>
        <c:axId val="536714976"/>
        <c:axId val="536832784"/>
      </c:scatterChart>
      <c:valAx>
        <c:axId val="536714976"/>
        <c:scaling>
          <c:orientation val="minMax"/>
        </c:scaling>
        <c:delete val="0"/>
        <c:axPos val="b"/>
        <c:title>
          <c:tx>
            <c:rich>
              <a:bodyPr/>
              <a:lstStyle/>
              <a:p>
                <a:pPr>
                  <a:defRPr/>
                </a:pPr>
                <a:r>
                  <a:rPr lang="en"/>
                  <a:t>1/X</a:t>
                </a:r>
              </a:p>
            </c:rich>
          </c:tx>
          <c:overlay val="0"/>
        </c:title>
        <c:numFmt formatCode="_-* #\ ##0.0000000000000000_-;\-* #\ ##0.0000000000000000_-;_-* &quot;-&quot;??_-;_-@_-" sourceLinked="1"/>
        <c:majorTickMark val="out"/>
        <c:minorTickMark val="none"/>
        <c:tickLblPos val="nextTo"/>
        <c:crossAx val="536832784"/>
        <c:crosses val="autoZero"/>
        <c:crossBetween val="midCat"/>
      </c:valAx>
      <c:valAx>
        <c:axId val="536832784"/>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5367149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ru-RU"/>
              <a:t>Корень (</a:t>
            </a:r>
            <a:r>
              <a:rPr lang="en"/>
              <a:t>X) </a:t>
            </a:r>
            <a:r>
              <a:rPr lang="ru-RU"/>
              <a:t>График остатков</a:t>
            </a:r>
          </a:p>
        </c:rich>
      </c:tx>
      <c:overlay val="0"/>
    </c:title>
    <c:autoTitleDeleted val="0"/>
    <c:plotArea>
      <c:layout/>
      <c:scatterChart>
        <c:scatterStyle val="lineMarker"/>
        <c:varyColors val="0"/>
        <c:ser>
          <c:idx val="0"/>
          <c:order val="0"/>
          <c:spPr>
            <a:ln w="19050">
              <a:noFill/>
            </a:ln>
          </c:spPr>
          <c:xVal>
            <c:numRef>
              <c:f>Корневая!$A$2:$A$86</c:f>
              <c:numCache>
                <c:formatCode>0.000</c:formatCode>
                <c:ptCount val="85"/>
                <c:pt idx="0">
                  <c:v>277.75708811837728</c:v>
                </c:pt>
                <c:pt idx="1">
                  <c:v>300.73576441786901</c:v>
                </c:pt>
                <c:pt idx="2">
                  <c:v>327.18037838476806</c:v>
                </c:pt>
                <c:pt idx="3">
                  <c:v>243.65754656894993</c:v>
                </c:pt>
                <c:pt idx="4">
                  <c:v>289.06054729070172</c:v>
                </c:pt>
                <c:pt idx="5">
                  <c:v>265.22820362849802</c:v>
                </c:pt>
                <c:pt idx="6">
                  <c:v>280.36761581894581</c:v>
                </c:pt>
                <c:pt idx="7">
                  <c:v>295.58755048208644</c:v>
                </c:pt>
                <c:pt idx="8">
                  <c:v>293.10066530118968</c:v>
                </c:pt>
                <c:pt idx="9">
                  <c:v>277.12271649938771</c:v>
                </c:pt>
                <c:pt idx="10">
                  <c:v>294.98305036052494</c:v>
                </c:pt>
                <c:pt idx="11">
                  <c:v>288.27937838145829</c:v>
                </c:pt>
                <c:pt idx="12">
                  <c:v>274.9254444390333</c:v>
                </c:pt>
                <c:pt idx="13">
                  <c:v>281.60610788830559</c:v>
                </c:pt>
                <c:pt idx="14">
                  <c:v>269.47727176888219</c:v>
                </c:pt>
                <c:pt idx="15">
                  <c:v>338.23216878351474</c:v>
                </c:pt>
                <c:pt idx="16">
                  <c:v>283.26842393743783</c:v>
                </c:pt>
                <c:pt idx="17">
                  <c:v>354.37691798422765</c:v>
                </c:pt>
                <c:pt idx="18">
                  <c:v>259.5130054544473</c:v>
                </c:pt>
                <c:pt idx="19">
                  <c:v>289.36309370754248</c:v>
                </c:pt>
                <c:pt idx="20">
                  <c:v>288.38862668281496</c:v>
                </c:pt>
                <c:pt idx="21">
                  <c:v>268.79918154637301</c:v>
                </c:pt>
                <c:pt idx="22">
                  <c:v>429.65916724771506</c:v>
                </c:pt>
                <c:pt idx="23">
                  <c:v>329.08509537807998</c:v>
                </c:pt>
                <c:pt idx="24">
                  <c:v>237.28885350980985</c:v>
                </c:pt>
                <c:pt idx="25">
                  <c:v>266.29119399634681</c:v>
                </c:pt>
                <c:pt idx="26">
                  <c:v>281.90246540248631</c:v>
                </c:pt>
                <c:pt idx="27">
                  <c:v>304.65554319591826</c:v>
                </c:pt>
                <c:pt idx="28">
                  <c:v>361.28935771760564</c:v>
                </c:pt>
                <c:pt idx="29">
                  <c:v>332.54623738662269</c:v>
                </c:pt>
                <c:pt idx="30">
                  <c:v>375.04799692839316</c:v>
                </c:pt>
                <c:pt idx="31">
                  <c:v>308.28396001089646</c:v>
                </c:pt>
                <c:pt idx="32">
                  <c:v>324.71525988163847</c:v>
                </c:pt>
                <c:pt idx="33">
                  <c:v>282.95936103970831</c:v>
                </c:pt>
                <c:pt idx="34">
                  <c:v>337.02373803635851</c:v>
                </c:pt>
                <c:pt idx="35">
                  <c:v>303.80421326900654</c:v>
                </c:pt>
                <c:pt idx="36">
                  <c:v>272.79846040621271</c:v>
                </c:pt>
                <c:pt idx="37">
                  <c:v>278.4492772481193</c:v>
                </c:pt>
                <c:pt idx="38">
                  <c:v>276.25169682736794</c:v>
                </c:pt>
                <c:pt idx="39">
                  <c:v>328.16916369457994</c:v>
                </c:pt>
                <c:pt idx="40">
                  <c:v>366.71242138765905</c:v>
                </c:pt>
                <c:pt idx="41">
                  <c:v>265.60308733145405</c:v>
                </c:pt>
                <c:pt idx="42">
                  <c:v>248.49547279578354</c:v>
                </c:pt>
                <c:pt idx="43">
                  <c:v>290.27917596686126</c:v>
                </c:pt>
                <c:pt idx="44">
                  <c:v>301.10961459242714</c:v>
                </c:pt>
                <c:pt idx="45">
                  <c:v>271.17522010685269</c:v>
                </c:pt>
                <c:pt idx="46">
                  <c:v>253.17977802344325</c:v>
                </c:pt>
                <c:pt idx="47">
                  <c:v>157.53094934012174</c:v>
                </c:pt>
                <c:pt idx="48">
                  <c:v>200.4145703286066</c:v>
                </c:pt>
                <c:pt idx="49">
                  <c:v>346.80397921592538</c:v>
                </c:pt>
                <c:pt idx="50">
                  <c:v>310.49476646152993</c:v>
                </c:pt>
                <c:pt idx="51">
                  <c:v>299.03511499487814</c:v>
                </c:pt>
                <c:pt idx="52">
                  <c:v>228.67881406024478</c:v>
                </c:pt>
                <c:pt idx="53">
                  <c:v>228.3111911405133</c:v>
                </c:pt>
                <c:pt idx="54">
                  <c:v>344.78544052787379</c:v>
                </c:pt>
                <c:pt idx="55">
                  <c:v>242.09502266672067</c:v>
                </c:pt>
                <c:pt idx="56">
                  <c:v>337.73510329842827</c:v>
                </c:pt>
                <c:pt idx="57">
                  <c:v>241.62574366155607</c:v>
                </c:pt>
                <c:pt idx="58">
                  <c:v>254.35801540348595</c:v>
                </c:pt>
                <c:pt idx="59">
                  <c:v>326.66955781033528</c:v>
                </c:pt>
                <c:pt idx="60">
                  <c:v>274.06568555731309</c:v>
                </c:pt>
                <c:pt idx="61">
                  <c:v>295.09489998981684</c:v>
                </c:pt>
                <c:pt idx="62">
                  <c:v>256.1718173414086</c:v>
                </c:pt>
                <c:pt idx="63">
                  <c:v>366.05190888725059</c:v>
                </c:pt>
                <c:pt idx="64">
                  <c:v>398.47082703756371</c:v>
                </c:pt>
                <c:pt idx="65">
                  <c:v>244.94080917642123</c:v>
                </c:pt>
                <c:pt idx="66">
                  <c:v>300.03333148168724</c:v>
                </c:pt>
                <c:pt idx="67">
                  <c:v>273.01648301888292</c:v>
                </c:pt>
                <c:pt idx="68">
                  <c:v>276.07607647168561</c:v>
                </c:pt>
                <c:pt idx="69">
                  <c:v>266.11651583469973</c:v>
                </c:pt>
                <c:pt idx="70">
                  <c:v>281.2916635807041</c:v>
                </c:pt>
                <c:pt idx="71">
                  <c:v>345.02318762657097</c:v>
                </c:pt>
                <c:pt idx="72">
                  <c:v>291.76874404226373</c:v>
                </c:pt>
                <c:pt idx="73">
                  <c:v>279.50491945581206</c:v>
                </c:pt>
                <c:pt idx="74">
                  <c:v>368.53900743340591</c:v>
                </c:pt>
                <c:pt idx="75">
                  <c:v>335.42808469178607</c:v>
                </c:pt>
                <c:pt idx="76">
                  <c:v>301.2739617026337</c:v>
                </c:pt>
                <c:pt idx="77">
                  <c:v>238.86607126170097</c:v>
                </c:pt>
                <c:pt idx="78">
                  <c:v>270.05925275761246</c:v>
                </c:pt>
                <c:pt idx="79">
                  <c:v>326.79351278750931</c:v>
                </c:pt>
                <c:pt idx="80">
                  <c:v>367.13893827814013</c:v>
                </c:pt>
                <c:pt idx="81">
                  <c:v>289.99310336626974</c:v>
                </c:pt>
                <c:pt idx="82">
                  <c:v>554.13716713463646</c:v>
                </c:pt>
                <c:pt idx="83">
                  <c:v>417.31642670760039</c:v>
                </c:pt>
                <c:pt idx="84">
                  <c:v>306.99837133118473</c:v>
                </c:pt>
              </c:numCache>
            </c:numRef>
          </c:xVal>
          <c:yVal>
            <c:numRef>
              <c:f>Корневая!$G$26:$G$110</c:f>
              <c:numCache>
                <c:formatCode>General</c:formatCode>
                <c:ptCount val="85"/>
                <c:pt idx="0">
                  <c:v>-13728.647032904279</c:v>
                </c:pt>
                <c:pt idx="1">
                  <c:v>9657.4454806436115</c:v>
                </c:pt>
                <c:pt idx="2">
                  <c:v>-615.52176618819067</c:v>
                </c:pt>
                <c:pt idx="3">
                  <c:v>5968.9350096675334</c:v>
                </c:pt>
                <c:pt idx="4">
                  <c:v>-7305.8626113937644</c:v>
                </c:pt>
                <c:pt idx="5">
                  <c:v>-5955.8609859066783</c:v>
                </c:pt>
                <c:pt idx="6">
                  <c:v>-5238.9776130676328</c:v>
                </c:pt>
                <c:pt idx="7">
                  <c:v>-14252.438303747389</c:v>
                </c:pt>
                <c:pt idx="8">
                  <c:v>-3107.1656289058446</c:v>
                </c:pt>
                <c:pt idx="9">
                  <c:v>-5424.4688231495675</c:v>
                </c:pt>
                <c:pt idx="10">
                  <c:v>3508.8541111649974</c:v>
                </c:pt>
                <c:pt idx="11">
                  <c:v>12346.811583587696</c:v>
                </c:pt>
                <c:pt idx="12">
                  <c:v>-18254.737191955443</c:v>
                </c:pt>
                <c:pt idx="13">
                  <c:v>16742.690122342668</c:v>
                </c:pt>
                <c:pt idx="14">
                  <c:v>-19484.309775883114</c:v>
                </c:pt>
                <c:pt idx="15">
                  <c:v>-24439.024010119072</c:v>
                </c:pt>
                <c:pt idx="16">
                  <c:v>3179.9075860794255</c:v>
                </c:pt>
                <c:pt idx="17">
                  <c:v>35779.493650137447</c:v>
                </c:pt>
                <c:pt idx="18">
                  <c:v>-13872.123923402367</c:v>
                </c:pt>
                <c:pt idx="19">
                  <c:v>4963.8831828390394</c:v>
                </c:pt>
                <c:pt idx="20">
                  <c:v>-14628.000769251492</c:v>
                </c:pt>
                <c:pt idx="21">
                  <c:v>-8846.1995978749474</c:v>
                </c:pt>
                <c:pt idx="22">
                  <c:v>-53954.923480252924</c:v>
                </c:pt>
                <c:pt idx="23">
                  <c:v>7312.3597527476959</c:v>
                </c:pt>
                <c:pt idx="24">
                  <c:v>8947.8191977627575</c:v>
                </c:pt>
                <c:pt idx="25">
                  <c:v>296.76321910235856</c:v>
                </c:pt>
                <c:pt idx="26">
                  <c:v>11506.691281403371</c:v>
                </c:pt>
                <c:pt idx="27">
                  <c:v>-11061.003418106426</c:v>
                </c:pt>
                <c:pt idx="28">
                  <c:v>57431.456866706038</c:v>
                </c:pt>
                <c:pt idx="29">
                  <c:v>10230.047630184272</c:v>
                </c:pt>
                <c:pt idx="30">
                  <c:v>9813.5226265881647</c:v>
                </c:pt>
                <c:pt idx="31">
                  <c:v>55072.726041375674</c:v>
                </c:pt>
                <c:pt idx="32">
                  <c:v>-16575.181321364347</c:v>
                </c:pt>
                <c:pt idx="33">
                  <c:v>-7929.4634670069063</c:v>
                </c:pt>
                <c:pt idx="34">
                  <c:v>-13836.646716467294</c:v>
                </c:pt>
                <c:pt idx="35">
                  <c:v>-13096.761089284191</c:v>
                </c:pt>
                <c:pt idx="36">
                  <c:v>-3142.6199796382716</c:v>
                </c:pt>
                <c:pt idx="37">
                  <c:v>-13126.895145895702</c:v>
                </c:pt>
                <c:pt idx="38">
                  <c:v>-10992.051141760545</c:v>
                </c:pt>
                <c:pt idx="39">
                  <c:v>-12534.855694931975</c:v>
                </c:pt>
                <c:pt idx="40">
                  <c:v>-12505.82030758755</c:v>
                </c:pt>
                <c:pt idx="41">
                  <c:v>-9593.4764029923826</c:v>
                </c:pt>
                <c:pt idx="42">
                  <c:v>-2044.1059123494197</c:v>
                </c:pt>
                <c:pt idx="43">
                  <c:v>-10042.95624244088</c:v>
                </c:pt>
                <c:pt idx="44">
                  <c:v>-9939.7932972016133</c:v>
                </c:pt>
                <c:pt idx="45">
                  <c:v>6315.922540825457</c:v>
                </c:pt>
                <c:pt idx="46">
                  <c:v>-15413.164147709729</c:v>
                </c:pt>
                <c:pt idx="47">
                  <c:v>15392.25804747815</c:v>
                </c:pt>
                <c:pt idx="48">
                  <c:v>8338.5747918682027</c:v>
                </c:pt>
                <c:pt idx="49">
                  <c:v>-19960.769982988684</c:v>
                </c:pt>
                <c:pt idx="50">
                  <c:v>7915.0621969154163</c:v>
                </c:pt>
                <c:pt idx="51">
                  <c:v>-21452.802504514315</c:v>
                </c:pt>
                <c:pt idx="52">
                  <c:v>9874.496619458092</c:v>
                </c:pt>
                <c:pt idx="53">
                  <c:v>6143.4660561483615</c:v>
                </c:pt>
                <c:pt idx="54">
                  <c:v>33432.827490567361</c:v>
                </c:pt>
                <c:pt idx="55">
                  <c:v>-7849.6487875841995</c:v>
                </c:pt>
                <c:pt idx="56">
                  <c:v>-15101.883010847741</c:v>
                </c:pt>
                <c:pt idx="57">
                  <c:v>11699.366240582123</c:v>
                </c:pt>
                <c:pt idx="58">
                  <c:v>11134.461649487494</c:v>
                </c:pt>
                <c:pt idx="59">
                  <c:v>-24351.368126321162</c:v>
                </c:pt>
                <c:pt idx="60">
                  <c:v>-3208.4231767203746</c:v>
                </c:pt>
                <c:pt idx="61">
                  <c:v>-4933.9062196685409</c:v>
                </c:pt>
                <c:pt idx="62">
                  <c:v>-2516.5254948088841</c:v>
                </c:pt>
                <c:pt idx="63">
                  <c:v>29174.884182957365</c:v>
                </c:pt>
                <c:pt idx="64">
                  <c:v>-33920.243744315361</c:v>
                </c:pt>
                <c:pt idx="65">
                  <c:v>3365.2874299840332</c:v>
                </c:pt>
                <c:pt idx="66">
                  <c:v>-19943.573350277773</c:v>
                </c:pt>
                <c:pt idx="67">
                  <c:v>-12113.071953488281</c:v>
                </c:pt>
                <c:pt idx="68">
                  <c:v>-3690.0514321143419</c:v>
                </c:pt>
                <c:pt idx="69">
                  <c:v>13757.419573649138</c:v>
                </c:pt>
                <c:pt idx="70">
                  <c:v>3571.2801669204055</c:v>
                </c:pt>
                <c:pt idx="71">
                  <c:v>28385.187503837282</c:v>
                </c:pt>
                <c:pt idx="72">
                  <c:v>-6553.7858247727709</c:v>
                </c:pt>
                <c:pt idx="73">
                  <c:v>-9902.5931185203808</c:v>
                </c:pt>
                <c:pt idx="74">
                  <c:v>-11795.466246621319</c:v>
                </c:pt>
                <c:pt idx="75">
                  <c:v>34718.842543999504</c:v>
                </c:pt>
                <c:pt idx="76">
                  <c:v>-6632.6848017686425</c:v>
                </c:pt>
                <c:pt idx="77">
                  <c:v>-12995.951749361746</c:v>
                </c:pt>
                <c:pt idx="78">
                  <c:v>-5359.3957505051221</c:v>
                </c:pt>
                <c:pt idx="79">
                  <c:v>101682.46010234562</c:v>
                </c:pt>
                <c:pt idx="80">
                  <c:v>62297.748068077475</c:v>
                </c:pt>
                <c:pt idx="81">
                  <c:v>-7461.7054378888715</c:v>
                </c:pt>
                <c:pt idx="82">
                  <c:v>-7155.2951663335552</c:v>
                </c:pt>
                <c:pt idx="83">
                  <c:v>-9393.9721594238508</c:v>
                </c:pt>
                <c:pt idx="84">
                  <c:v>-22722.778709845603</c:v>
                </c:pt>
              </c:numCache>
            </c:numRef>
          </c:yVal>
          <c:smooth val="0"/>
          <c:extLst>
            <c:ext xmlns:c16="http://schemas.microsoft.com/office/drawing/2014/chart" uri="{C3380CC4-5D6E-409C-BE32-E72D297353CC}">
              <c16:uniqueId val="{00000001-F3EF-904C-BCBF-5CC92D4455B5}"/>
            </c:ext>
          </c:extLst>
        </c:ser>
        <c:dLbls>
          <c:showLegendKey val="0"/>
          <c:showVal val="0"/>
          <c:showCatName val="0"/>
          <c:showSerName val="0"/>
          <c:showPercent val="0"/>
          <c:showBubbleSize val="0"/>
        </c:dLbls>
        <c:axId val="1707427744"/>
        <c:axId val="1707307904"/>
      </c:scatterChart>
      <c:valAx>
        <c:axId val="1707427744"/>
        <c:scaling>
          <c:orientation val="minMax"/>
        </c:scaling>
        <c:delete val="0"/>
        <c:axPos val="b"/>
        <c:title>
          <c:tx>
            <c:rich>
              <a:bodyPr/>
              <a:lstStyle/>
              <a:p>
                <a:pPr>
                  <a:defRPr/>
                </a:pPr>
                <a:r>
                  <a:rPr lang="ru-RU"/>
                  <a:t>Корень (</a:t>
                </a:r>
                <a:r>
                  <a:rPr lang="en"/>
                  <a:t>X)</a:t>
                </a:r>
              </a:p>
            </c:rich>
          </c:tx>
          <c:overlay val="0"/>
        </c:title>
        <c:numFmt formatCode="0.000" sourceLinked="1"/>
        <c:majorTickMark val="out"/>
        <c:minorTickMark val="none"/>
        <c:tickLblPos val="nextTo"/>
        <c:crossAx val="1707307904"/>
        <c:crosses val="autoZero"/>
        <c:crossBetween val="midCat"/>
      </c:valAx>
      <c:valAx>
        <c:axId val="1707307904"/>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170742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
              <a:t>LN(X) </a:t>
            </a:r>
            <a:r>
              <a:rPr lang="ru-RU"/>
              <a:t>График остатков</a:t>
            </a:r>
          </a:p>
        </c:rich>
      </c:tx>
      <c:overlay val="0"/>
    </c:title>
    <c:autoTitleDeleted val="0"/>
    <c:plotArea>
      <c:layout/>
      <c:scatterChart>
        <c:scatterStyle val="lineMarker"/>
        <c:varyColors val="0"/>
        <c:ser>
          <c:idx val="0"/>
          <c:order val="0"/>
          <c:spPr>
            <a:ln w="19050">
              <a:noFill/>
            </a:ln>
          </c:spPr>
          <c:xVal>
            <c:numRef>
              <c:f>Степенная!$A$2:$A$86</c:f>
              <c:numCache>
                <c:formatCode>0.000</c:formatCode>
                <c:ptCount val="85"/>
                <c:pt idx="0">
                  <c:v>11.253493895944503</c:v>
                </c:pt>
                <c:pt idx="1">
                  <c:v>11.412464040256195</c:v>
                </c:pt>
                <c:pt idx="2">
                  <c:v>11.581023269337425</c:v>
                </c:pt>
                <c:pt idx="3">
                  <c:v>10.991527483599203</c:v>
                </c:pt>
                <c:pt idx="4">
                  <c:v>11.333272344730547</c:v>
                </c:pt>
                <c:pt idx="5">
                  <c:v>11.161181202361705</c:v>
                </c:pt>
                <c:pt idx="6">
                  <c:v>11.272203311381725</c:v>
                </c:pt>
                <c:pt idx="7">
                  <c:v>11.377930144182711</c:v>
                </c:pt>
                <c:pt idx="8">
                  <c:v>11.361032235184185</c:v>
                </c:pt>
                <c:pt idx="9">
                  <c:v>11.248920855872804</c:v>
                </c:pt>
                <c:pt idx="10">
                  <c:v>11.373835796568274</c:v>
                </c:pt>
                <c:pt idx="11">
                  <c:v>11.327860147505211</c:v>
                </c:pt>
                <c:pt idx="12">
                  <c:v>11.232999899557035</c:v>
                </c:pt>
                <c:pt idx="13">
                  <c:v>11.281018627985862</c:v>
                </c:pt>
                <c:pt idx="14">
                  <c:v>11.192968103966658</c:v>
                </c:pt>
                <c:pt idx="15">
                  <c:v>11.647465099148372</c:v>
                </c:pt>
                <c:pt idx="16">
                  <c:v>11.292789885170324</c:v>
                </c:pt>
                <c:pt idx="17">
                  <c:v>11.740722173537083</c:v>
                </c:pt>
                <c:pt idx="18">
                  <c:v>11.117613637416579</c:v>
                </c:pt>
                <c:pt idx="19">
                  <c:v>11.335364558277762</c:v>
                </c:pt>
                <c:pt idx="20">
                  <c:v>11.328617937441217</c:v>
                </c:pt>
                <c:pt idx="21">
                  <c:v>11.187929127603994</c:v>
                </c:pt>
                <c:pt idx="22">
                  <c:v>12.125984520158603</c:v>
                </c:pt>
                <c:pt idx="23">
                  <c:v>11.592632731774382</c:v>
                </c:pt>
                <c:pt idx="24">
                  <c:v>10.938556380385453</c:v>
                </c:pt>
                <c:pt idx="25">
                  <c:v>11.169180848581908</c:v>
                </c:pt>
                <c:pt idx="26">
                  <c:v>11.283122287490261</c:v>
                </c:pt>
                <c:pt idx="27">
                  <c:v>11.438363543643323</c:v>
                </c:pt>
                <c:pt idx="28">
                  <c:v>11.779358364382835</c:v>
                </c:pt>
                <c:pt idx="29">
                  <c:v>11.613557820474762</c:v>
                </c:pt>
                <c:pt idx="30">
                  <c:v>11.854108019178414</c:v>
                </c:pt>
                <c:pt idx="31">
                  <c:v>11.462042612655594</c:v>
                </c:pt>
                <c:pt idx="32">
                  <c:v>11.565897349736334</c:v>
                </c:pt>
                <c:pt idx="33">
                  <c:v>11.290606573530575</c:v>
                </c:pt>
                <c:pt idx="34">
                  <c:v>11.640306734297321</c:v>
                </c:pt>
                <c:pt idx="35">
                  <c:v>11.43276691725416</c:v>
                </c:pt>
                <c:pt idx="36">
                  <c:v>11.217466564562281</c:v>
                </c:pt>
                <c:pt idx="37">
                  <c:v>11.258471828813903</c:v>
                </c:pt>
                <c:pt idx="38">
                  <c:v>11.242624790349222</c:v>
                </c:pt>
                <c:pt idx="39">
                  <c:v>11.587058436811455</c:v>
                </c:pt>
                <c:pt idx="40">
                  <c:v>11.809155895871966</c:v>
                </c:pt>
                <c:pt idx="41">
                  <c:v>11.164006083047258</c:v>
                </c:pt>
                <c:pt idx="42">
                  <c:v>11.030849254490224</c:v>
                </c:pt>
                <c:pt idx="43">
                  <c:v>11.341686271306379</c:v>
                </c:pt>
                <c:pt idx="44">
                  <c:v>11.414948733073855</c:v>
                </c:pt>
                <c:pt idx="45">
                  <c:v>11.205530361208428</c:v>
                </c:pt>
                <c:pt idx="46">
                  <c:v>11.068199642908761</c:v>
                </c:pt>
                <c:pt idx="47">
                  <c:v>10.119243885416321</c:v>
                </c:pt>
                <c:pt idx="48">
                  <c:v>10.600776145596624</c:v>
                </c:pt>
                <c:pt idx="49">
                  <c:v>11.697519437869847</c:v>
                </c:pt>
                <c:pt idx="50">
                  <c:v>11.476334092070244</c:v>
                </c:pt>
                <c:pt idx="51">
                  <c:v>11.401122015898842</c:v>
                </c:pt>
                <c:pt idx="52">
                  <c:v>10.86463692071851</c:v>
                </c:pt>
                <c:pt idx="53">
                  <c:v>10.861419143569357</c:v>
                </c:pt>
                <c:pt idx="54">
                  <c:v>11.685844624101536</c:v>
                </c:pt>
                <c:pt idx="55">
                  <c:v>10.978660609470476</c:v>
                </c:pt>
                <c:pt idx="56">
                  <c:v>11.644523740326974</c:v>
                </c:pt>
                <c:pt idx="57">
                  <c:v>10.974780030549274</c:v>
                </c:pt>
                <c:pt idx="58">
                  <c:v>11.077485568110127</c:v>
                </c:pt>
                <c:pt idx="59">
                  <c:v>11.577898266794289</c:v>
                </c:pt>
                <c:pt idx="60">
                  <c:v>11.226735611938384</c:v>
                </c:pt>
                <c:pt idx="61">
                  <c:v>11.374593998975703</c:v>
                </c:pt>
                <c:pt idx="62">
                  <c:v>11.091696761682586</c:v>
                </c:pt>
                <c:pt idx="63">
                  <c:v>11.805550301811165</c:v>
                </c:pt>
                <c:pt idx="64">
                  <c:v>11.97526857723685</c:v>
                </c:pt>
                <c:pt idx="65">
                  <c:v>11.002033172315251</c:v>
                </c:pt>
                <c:pt idx="66">
                  <c:v>11.407787146846923</c:v>
                </c:pt>
                <c:pt idx="67">
                  <c:v>11.219064341441731</c:v>
                </c:pt>
                <c:pt idx="68">
                  <c:v>11.241352934251516</c:v>
                </c:pt>
                <c:pt idx="69">
                  <c:v>11.167868484657124</c:v>
                </c:pt>
                <c:pt idx="70">
                  <c:v>11.278784159446477</c:v>
                </c:pt>
                <c:pt idx="71">
                  <c:v>11.68722325056927</c:v>
                </c:pt>
                <c:pt idx="72">
                  <c:v>11.35192303206883</c:v>
                </c:pt>
                <c:pt idx="73">
                  <c:v>11.266039786711017</c:v>
                </c:pt>
                <c:pt idx="74">
                  <c:v>11.819093121326587</c:v>
                </c:pt>
                <c:pt idx="75">
                  <c:v>11.630815161604794</c:v>
                </c:pt>
                <c:pt idx="76">
                  <c:v>11.416040045126518</c:v>
                </c:pt>
                <c:pt idx="77">
                  <c:v>10.951806047149772</c:v>
                </c:pt>
                <c:pt idx="78">
                  <c:v>11.197282779159096</c:v>
                </c:pt>
                <c:pt idx="79">
                  <c:v>11.578657024154808</c:v>
                </c:pt>
                <c:pt idx="80">
                  <c:v>11.811480709652788</c:v>
                </c:pt>
                <c:pt idx="81">
                  <c:v>11.339714282404227</c:v>
                </c:pt>
                <c:pt idx="82">
                  <c:v>12.634824500413528</c:v>
                </c:pt>
                <c:pt idx="83">
                  <c:v>12.067689502174627</c:v>
                </c:pt>
                <c:pt idx="84">
                  <c:v>11.453684884925956</c:v>
                </c:pt>
              </c:numCache>
            </c:numRef>
          </c:xVal>
          <c:yVal>
            <c:numRef>
              <c:f>Степенная!$H$26:$H$110</c:f>
              <c:numCache>
                <c:formatCode>General</c:formatCode>
                <c:ptCount val="85"/>
                <c:pt idx="0">
                  <c:v>-0.1938723933054618</c:v>
                </c:pt>
                <c:pt idx="1">
                  <c:v>0.15484054319488649</c:v>
                </c:pt>
                <c:pt idx="2">
                  <c:v>3.5914762221493035E-2</c:v>
                </c:pt>
                <c:pt idx="3">
                  <c:v>0.10312936694231745</c:v>
                </c:pt>
                <c:pt idx="4">
                  <c:v>-7.214550273745779E-2</c:v>
                </c:pt>
                <c:pt idx="5">
                  <c:v>-7.6364908197881221E-2</c:v>
                </c:pt>
                <c:pt idx="6">
                  <c:v>-4.8584121233243849E-2</c:v>
                </c:pt>
                <c:pt idx="7">
                  <c:v>-0.17363546736002888</c:v>
                </c:pt>
                <c:pt idx="8">
                  <c:v>-7.8780848491764033E-3</c:v>
                </c:pt>
                <c:pt idx="9">
                  <c:v>-5.4533802383183172E-2</c:v>
                </c:pt>
                <c:pt idx="10">
                  <c:v>8.0895520313481128E-2</c:v>
                </c:pt>
                <c:pt idx="11">
                  <c:v>0.18936748384725988</c:v>
                </c:pt>
                <c:pt idx="12">
                  <c:v>-0.28626835583264487</c:v>
                </c:pt>
                <c:pt idx="13">
                  <c:v>0.24317078296224537</c:v>
                </c:pt>
                <c:pt idx="14">
                  <c:v>-0.32661059156205141</c:v>
                </c:pt>
                <c:pt idx="15">
                  <c:v>-0.26828127984708949</c:v>
                </c:pt>
                <c:pt idx="16">
                  <c:v>7.4424857810763356E-2</c:v>
                </c:pt>
                <c:pt idx="17">
                  <c:v>0.3593209565423745</c:v>
                </c:pt>
                <c:pt idx="18">
                  <c:v>-0.23500985428071175</c:v>
                </c:pt>
                <c:pt idx="19">
                  <c:v>9.8810474125862413E-2</c:v>
                </c:pt>
                <c:pt idx="20">
                  <c:v>-0.19118832936501562</c:v>
                </c:pt>
                <c:pt idx="21">
                  <c:v>-0.12161726480912805</c:v>
                </c:pt>
                <c:pt idx="22">
                  <c:v>-0.5295668782931422</c:v>
                </c:pt>
                <c:pt idx="23">
                  <c:v>0.12334546875354846</c:v>
                </c:pt>
                <c:pt idx="24">
                  <c:v>0.14866251924246932</c:v>
                </c:pt>
                <c:pt idx="25">
                  <c:v>2.5873755130531251E-2</c:v>
                </c:pt>
                <c:pt idx="26">
                  <c:v>0.18113768988146361</c:v>
                </c:pt>
                <c:pt idx="27">
                  <c:v>-0.11284913631668125</c:v>
                </c:pt>
                <c:pt idx="28">
                  <c:v>0.5010637378176046</c:v>
                </c:pt>
                <c:pt idx="29">
                  <c:v>0.1525302229558374</c:v>
                </c:pt>
                <c:pt idx="30">
                  <c:v>0.13471468187240632</c:v>
                </c:pt>
                <c:pt idx="31">
                  <c:v>0.56244959250501303</c:v>
                </c:pt>
                <c:pt idx="32">
                  <c:v>-0.17111692908762244</c:v>
                </c:pt>
                <c:pt idx="33">
                  <c:v>-8.8115611135856753E-2</c:v>
                </c:pt>
                <c:pt idx="34">
                  <c:v>-0.12155294934502514</c:v>
                </c:pt>
                <c:pt idx="35">
                  <c:v>-0.14438501951175375</c:v>
                </c:pt>
                <c:pt idx="36">
                  <c:v>-2.2627714731859427E-2</c:v>
                </c:pt>
                <c:pt idx="37">
                  <c:v>-0.18183744485382292</c:v>
                </c:pt>
                <c:pt idx="38">
                  <c:v>-0.14785958234208429</c:v>
                </c:pt>
                <c:pt idx="39">
                  <c:v>-0.11169538752040964</c:v>
                </c:pt>
                <c:pt idx="40">
                  <c:v>-8.6413713206173526E-2</c:v>
                </c:pt>
                <c:pt idx="41">
                  <c:v>-0.13996097567568633</c:v>
                </c:pt>
                <c:pt idx="42">
                  <c:v>-2.8172915932536569E-2</c:v>
                </c:pt>
                <c:pt idx="43">
                  <c:v>-0.11317344400848484</c:v>
                </c:pt>
                <c:pt idx="44">
                  <c:v>-9.9874907554434955E-2</c:v>
                </c:pt>
                <c:pt idx="45">
                  <c:v>0.11491515440313194</c:v>
                </c:pt>
                <c:pt idx="46">
                  <c:v>-0.28500452982406621</c:v>
                </c:pt>
                <c:pt idx="47">
                  <c:v>0.24810114511687331</c:v>
                </c:pt>
                <c:pt idx="48">
                  <c:v>0.12095884705656168</c:v>
                </c:pt>
                <c:pt idx="49">
                  <c:v>-0.1933447407832567</c:v>
                </c:pt>
                <c:pt idx="50">
                  <c:v>0.13318317678932701</c:v>
                </c:pt>
                <c:pt idx="51">
                  <c:v>-0.29106470825289499</c:v>
                </c:pt>
                <c:pt idx="52">
                  <c:v>0.16199410785874591</c:v>
                </c:pt>
                <c:pt idx="53">
                  <c:v>9.8665192697177773E-2</c:v>
                </c:pt>
                <c:pt idx="54">
                  <c:v>0.35063264870881028</c:v>
                </c:pt>
                <c:pt idx="55">
                  <c:v>-0.14974345533152977</c:v>
                </c:pt>
                <c:pt idx="56">
                  <c:v>-0.13753544446655042</c:v>
                </c:pt>
                <c:pt idx="57">
                  <c:v>0.19096934997341108</c:v>
                </c:pt>
                <c:pt idx="58">
                  <c:v>0.18155846671672471</c:v>
                </c:pt>
                <c:pt idx="59">
                  <c:v>-0.28617183509367905</c:v>
                </c:pt>
                <c:pt idx="60">
                  <c:v>-2.2601368593900162E-2</c:v>
                </c:pt>
                <c:pt idx="61">
                  <c:v>-3.236215225801331E-2</c:v>
                </c:pt>
                <c:pt idx="62">
                  <c:v>-2.7990057488496589E-2</c:v>
                </c:pt>
                <c:pt idx="63">
                  <c:v>0.29853607812960092</c:v>
                </c:pt>
                <c:pt idx="64">
                  <c:v>-0.31367572022183232</c:v>
                </c:pt>
                <c:pt idx="65">
                  <c:v>6.1429436543011917E-2</c:v>
                </c:pt>
                <c:pt idx="66">
                  <c:v>-0.2621743252629738</c:v>
                </c:pt>
                <c:pt idx="67">
                  <c:v>-0.17310695627076633</c:v>
                </c:pt>
                <c:pt idx="68">
                  <c:v>-2.8391908387312981E-2</c:v>
                </c:pt>
                <c:pt idx="69">
                  <c:v>0.21380768566000263</c:v>
                </c:pt>
                <c:pt idx="70">
                  <c:v>7.9253125275187131E-2</c:v>
                </c:pt>
                <c:pt idx="71">
                  <c:v>0.30983123397938961</c:v>
                </c:pt>
                <c:pt idx="72">
                  <c:v>-5.8416130469543859E-2</c:v>
                </c:pt>
                <c:pt idx="73">
                  <c:v>-0.12453735197737537</c:v>
                </c:pt>
                <c:pt idx="74">
                  <c:v>-7.763642243002522E-2</c:v>
                </c:pt>
                <c:pt idx="75">
                  <c:v>0.37018049452358248</c:v>
                </c:pt>
                <c:pt idx="76">
                  <c:v>-5.1975653034100233E-2</c:v>
                </c:pt>
                <c:pt idx="77">
                  <c:v>-0.27270308918438779</c:v>
                </c:pt>
                <c:pt idx="78">
                  <c:v>-6.075668140970869E-2</c:v>
                </c:pt>
                <c:pt idx="79">
                  <c:v>0.81786888831195093</c:v>
                </c:pt>
                <c:pt idx="80">
                  <c:v>0.52343844217601543</c:v>
                </c:pt>
                <c:pt idx="81">
                  <c:v>-7.3618767551522524E-2</c:v>
                </c:pt>
                <c:pt idx="82">
                  <c:v>-2.9650648983292172E-2</c:v>
                </c:pt>
                <c:pt idx="83">
                  <c:v>-4.0537735913780182E-2</c:v>
                </c:pt>
                <c:pt idx="84">
                  <c:v>-0.29678364157193649</c:v>
                </c:pt>
              </c:numCache>
            </c:numRef>
          </c:yVal>
          <c:smooth val="0"/>
          <c:extLst>
            <c:ext xmlns:c16="http://schemas.microsoft.com/office/drawing/2014/chart" uri="{C3380CC4-5D6E-409C-BE32-E72D297353CC}">
              <c16:uniqueId val="{00000001-8EDA-9845-8260-E29EFD7F29CA}"/>
            </c:ext>
          </c:extLst>
        </c:ser>
        <c:dLbls>
          <c:showLegendKey val="0"/>
          <c:showVal val="0"/>
          <c:showCatName val="0"/>
          <c:showSerName val="0"/>
          <c:showPercent val="0"/>
          <c:showBubbleSize val="0"/>
        </c:dLbls>
        <c:axId val="136687952"/>
        <c:axId val="136689600"/>
      </c:scatterChart>
      <c:valAx>
        <c:axId val="136687952"/>
        <c:scaling>
          <c:orientation val="minMax"/>
        </c:scaling>
        <c:delete val="0"/>
        <c:axPos val="b"/>
        <c:title>
          <c:tx>
            <c:rich>
              <a:bodyPr/>
              <a:lstStyle/>
              <a:p>
                <a:pPr>
                  <a:defRPr/>
                </a:pPr>
                <a:r>
                  <a:rPr lang="en"/>
                  <a:t>LN(X)</a:t>
                </a:r>
              </a:p>
            </c:rich>
          </c:tx>
          <c:overlay val="0"/>
        </c:title>
        <c:numFmt formatCode="0.000" sourceLinked="1"/>
        <c:majorTickMark val="out"/>
        <c:minorTickMark val="none"/>
        <c:tickLblPos val="nextTo"/>
        <c:crossAx val="136689600"/>
        <c:crosses val="autoZero"/>
        <c:crossBetween val="midCat"/>
      </c:valAx>
      <c:valAx>
        <c:axId val="136689600"/>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1366879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
              <a:t>X </a:t>
            </a:r>
            <a:r>
              <a:rPr lang="ru-RU"/>
              <a:t>График остатков</a:t>
            </a:r>
          </a:p>
        </c:rich>
      </c:tx>
      <c:overlay val="0"/>
    </c:title>
    <c:autoTitleDeleted val="0"/>
    <c:plotArea>
      <c:layout/>
      <c:scatterChart>
        <c:scatterStyle val="lineMarker"/>
        <c:varyColors val="0"/>
        <c:ser>
          <c:idx val="0"/>
          <c:order val="0"/>
          <c:spPr>
            <a:ln w="19050">
              <a:noFill/>
            </a:ln>
          </c:spPr>
          <c:xVal>
            <c:numRef>
              <c:f>Показательная!$A$2:$A$86</c:f>
              <c:numCache>
                <c:formatCode>_-* #\ ##0_-;\-* #\ ##0_-;_-* "-"??_-;_-@_-</c:formatCode>
                <c:ptCount val="85"/>
                <c:pt idx="0">
                  <c:v>77149</c:v>
                </c:pt>
                <c:pt idx="1">
                  <c:v>90442</c:v>
                </c:pt>
                <c:pt idx="2">
                  <c:v>107047</c:v>
                </c:pt>
                <c:pt idx="3">
                  <c:v>59369</c:v>
                </c:pt>
                <c:pt idx="4">
                  <c:v>83556</c:v>
                </c:pt>
                <c:pt idx="5">
                  <c:v>70346</c:v>
                </c:pt>
                <c:pt idx="6">
                  <c:v>78606</c:v>
                </c:pt>
                <c:pt idx="7">
                  <c:v>87372</c:v>
                </c:pt>
                <c:pt idx="8">
                  <c:v>85908</c:v>
                </c:pt>
                <c:pt idx="9">
                  <c:v>76797</c:v>
                </c:pt>
                <c:pt idx="10">
                  <c:v>87015</c:v>
                </c:pt>
                <c:pt idx="11">
                  <c:v>83105</c:v>
                </c:pt>
                <c:pt idx="12">
                  <c:v>75584</c:v>
                </c:pt>
                <c:pt idx="13">
                  <c:v>79302</c:v>
                </c:pt>
                <c:pt idx="14">
                  <c:v>72618</c:v>
                </c:pt>
                <c:pt idx="15">
                  <c:v>114401</c:v>
                </c:pt>
                <c:pt idx="16">
                  <c:v>80241</c:v>
                </c:pt>
                <c:pt idx="17">
                  <c:v>125583</c:v>
                </c:pt>
                <c:pt idx="18">
                  <c:v>67347</c:v>
                </c:pt>
                <c:pt idx="19">
                  <c:v>83731</c:v>
                </c:pt>
                <c:pt idx="20">
                  <c:v>83168</c:v>
                </c:pt>
                <c:pt idx="21">
                  <c:v>72253</c:v>
                </c:pt>
                <c:pt idx="22">
                  <c:v>184607</c:v>
                </c:pt>
                <c:pt idx="23">
                  <c:v>108297</c:v>
                </c:pt>
                <c:pt idx="24">
                  <c:v>56306</c:v>
                </c:pt>
                <c:pt idx="25">
                  <c:v>70911</c:v>
                </c:pt>
                <c:pt idx="26">
                  <c:v>79469</c:v>
                </c:pt>
                <c:pt idx="27">
                  <c:v>92815</c:v>
                </c:pt>
                <c:pt idx="28">
                  <c:v>130530</c:v>
                </c:pt>
                <c:pt idx="29">
                  <c:v>110587</c:v>
                </c:pt>
                <c:pt idx="30">
                  <c:v>140661</c:v>
                </c:pt>
                <c:pt idx="31">
                  <c:v>95039</c:v>
                </c:pt>
                <c:pt idx="32">
                  <c:v>105440</c:v>
                </c:pt>
                <c:pt idx="33">
                  <c:v>80066</c:v>
                </c:pt>
                <c:pt idx="34">
                  <c:v>113585</c:v>
                </c:pt>
                <c:pt idx="35">
                  <c:v>92297</c:v>
                </c:pt>
                <c:pt idx="36">
                  <c:v>74419</c:v>
                </c:pt>
                <c:pt idx="37">
                  <c:v>77534</c:v>
                </c:pt>
                <c:pt idx="38">
                  <c:v>76315</c:v>
                </c:pt>
                <c:pt idx="39">
                  <c:v>107695</c:v>
                </c:pt>
                <c:pt idx="40">
                  <c:v>134478</c:v>
                </c:pt>
                <c:pt idx="41">
                  <c:v>70545</c:v>
                </c:pt>
                <c:pt idx="42">
                  <c:v>61750</c:v>
                </c:pt>
                <c:pt idx="43">
                  <c:v>84262</c:v>
                </c:pt>
                <c:pt idx="44">
                  <c:v>90667</c:v>
                </c:pt>
                <c:pt idx="45">
                  <c:v>73536</c:v>
                </c:pt>
                <c:pt idx="46">
                  <c:v>64100</c:v>
                </c:pt>
                <c:pt idx="47">
                  <c:v>24816</c:v>
                </c:pt>
                <c:pt idx="48">
                  <c:v>40166</c:v>
                </c:pt>
                <c:pt idx="49">
                  <c:v>120273</c:v>
                </c:pt>
                <c:pt idx="50">
                  <c:v>96407</c:v>
                </c:pt>
                <c:pt idx="51">
                  <c:v>89422</c:v>
                </c:pt>
                <c:pt idx="52">
                  <c:v>52294</c:v>
                </c:pt>
                <c:pt idx="53">
                  <c:v>52126</c:v>
                </c:pt>
                <c:pt idx="54">
                  <c:v>118877</c:v>
                </c:pt>
                <c:pt idx="55">
                  <c:v>58610</c:v>
                </c:pt>
                <c:pt idx="56">
                  <c:v>114065</c:v>
                </c:pt>
                <c:pt idx="57">
                  <c:v>58383</c:v>
                </c:pt>
                <c:pt idx="58">
                  <c:v>64698</c:v>
                </c:pt>
                <c:pt idx="59">
                  <c:v>106713</c:v>
                </c:pt>
                <c:pt idx="60">
                  <c:v>75112</c:v>
                </c:pt>
                <c:pt idx="61">
                  <c:v>87081</c:v>
                </c:pt>
                <c:pt idx="62">
                  <c:v>65624</c:v>
                </c:pt>
                <c:pt idx="63">
                  <c:v>133994</c:v>
                </c:pt>
                <c:pt idx="64">
                  <c:v>158779</c:v>
                </c:pt>
                <c:pt idx="65">
                  <c:v>59996</c:v>
                </c:pt>
                <c:pt idx="66">
                  <c:v>90020</c:v>
                </c:pt>
                <c:pt idx="67">
                  <c:v>74538</c:v>
                </c:pt>
                <c:pt idx="68">
                  <c:v>76218</c:v>
                </c:pt>
                <c:pt idx="69">
                  <c:v>70818</c:v>
                </c:pt>
                <c:pt idx="70">
                  <c:v>79125</c:v>
                </c:pt>
                <c:pt idx="71">
                  <c:v>119041</c:v>
                </c:pt>
                <c:pt idx="72">
                  <c:v>85129</c:v>
                </c:pt>
                <c:pt idx="73">
                  <c:v>78123</c:v>
                </c:pt>
                <c:pt idx="74">
                  <c:v>135821</c:v>
                </c:pt>
                <c:pt idx="75">
                  <c:v>112512</c:v>
                </c:pt>
                <c:pt idx="76">
                  <c:v>90766</c:v>
                </c:pt>
                <c:pt idx="77">
                  <c:v>57057</c:v>
                </c:pt>
                <c:pt idx="78">
                  <c:v>72932</c:v>
                </c:pt>
                <c:pt idx="79">
                  <c:v>106794</c:v>
                </c:pt>
                <c:pt idx="80">
                  <c:v>134791</c:v>
                </c:pt>
                <c:pt idx="81">
                  <c:v>84096</c:v>
                </c:pt>
                <c:pt idx="82">
                  <c:v>307068</c:v>
                </c:pt>
                <c:pt idx="83">
                  <c:v>174153</c:v>
                </c:pt>
                <c:pt idx="84">
                  <c:v>94248</c:v>
                </c:pt>
              </c:numCache>
            </c:numRef>
          </c:xVal>
          <c:yVal>
            <c:numRef>
              <c:f>Показательная!$G$26:$G$110</c:f>
              <c:numCache>
                <c:formatCode>General</c:formatCode>
                <c:ptCount val="85"/>
                <c:pt idx="0">
                  <c:v>-0.18373072648903666</c:v>
                </c:pt>
                <c:pt idx="1">
                  <c:v>0.19258809539386235</c:v>
                </c:pt>
                <c:pt idx="2">
                  <c:v>8.8272761752168805E-2</c:v>
                </c:pt>
                <c:pt idx="3">
                  <c:v>4.3684428464970892E-2</c:v>
                </c:pt>
                <c:pt idx="4">
                  <c:v>-4.6607867851582441E-2</c:v>
                </c:pt>
                <c:pt idx="5">
                  <c:v>-8.7604469315500921E-2</c:v>
                </c:pt>
                <c:pt idx="6">
                  <c:v>-3.456579231647261E-2</c:v>
                </c:pt>
                <c:pt idx="7">
                  <c:v>-0.14082019577333149</c:v>
                </c:pt>
                <c:pt idx="8">
                  <c:v>2.230068730228929E-2</c:v>
                </c:pt>
                <c:pt idx="9">
                  <c:v>-4.536378793937601E-2</c:v>
                </c:pt>
                <c:pt idx="10">
                  <c:v>0.113085252795738</c:v>
                </c:pt>
                <c:pt idx="11">
                  <c:v>0.21395612526659136</c:v>
                </c:pt>
                <c:pt idx="12">
                  <c:v>-0.28055403055628858</c:v>
                </c:pt>
                <c:pt idx="13">
                  <c:v>0.25896016386907839</c:v>
                </c:pt>
                <c:pt idx="14">
                  <c:v>-0.3300757563471084</c:v>
                </c:pt>
                <c:pt idx="15">
                  <c:v>-0.21488756427500988</c:v>
                </c:pt>
                <c:pt idx="16">
                  <c:v>9.2522982589901659E-2</c:v>
                </c:pt>
                <c:pt idx="17">
                  <c:v>0.40914555788042684</c:v>
                </c:pt>
                <c:pt idx="18">
                  <c:v>-0.257576969043118</c:v>
                </c:pt>
                <c:pt idx="19">
                  <c:v>0.12471113816474855</c:v>
                </c:pt>
                <c:pt idx="20">
                  <c:v>-0.16646595668860265</c:v>
                </c:pt>
                <c:pt idx="21">
                  <c:v>-0.12628662119637468</c:v>
                </c:pt>
                <c:pt idx="22">
                  <c:v>-0.56941517981923617</c:v>
                </c:pt>
                <c:pt idx="23">
                  <c:v>0.17608870264841237</c:v>
                </c:pt>
                <c:pt idx="24">
                  <c:v>7.2038355564544077E-2</c:v>
                </c:pt>
                <c:pt idx="25">
                  <c:v>1.6630349989824822E-2</c:v>
                </c:pt>
                <c:pt idx="26">
                  <c:v>0.1973444015652337</c:v>
                </c:pt>
                <c:pt idx="27">
                  <c:v>-7.1814737179048294E-2</c:v>
                </c:pt>
                <c:pt idx="28">
                  <c:v>0.5475738584168699</c:v>
                </c:pt>
                <c:pt idx="29">
                  <c:v>0.20575183289869692</c:v>
                </c:pt>
                <c:pt idx="30">
                  <c:v>0.17154151082154101</c:v>
                </c:pt>
                <c:pt idx="31">
                  <c:v>0.60617106982954461</c:v>
                </c:pt>
                <c:pt idx="32">
                  <c:v>-0.1193871198023988</c:v>
                </c:pt>
                <c:pt idx="33">
                  <c:v>-7.0440825559581199E-2</c:v>
                </c:pt>
                <c:pt idx="34">
                  <c:v>-6.813246695075037E-2</c:v>
                </c:pt>
                <c:pt idx="35">
                  <c:v>-0.10403039867166086</c:v>
                </c:pt>
                <c:pt idx="36">
                  <c:v>-2.0392804119508057E-2</c:v>
                </c:pt>
                <c:pt idx="37">
                  <c:v>-0.17064880933642179</c:v>
                </c:pt>
                <c:pt idx="38">
                  <c:v>-0.14004265684223682</c:v>
                </c:pt>
                <c:pt idx="39">
                  <c:v>-5.9126545659443863E-2</c:v>
                </c:pt>
                <c:pt idx="40">
                  <c:v>-4.3234907187510885E-2</c:v>
                </c:pt>
                <c:pt idx="41">
                  <c:v>-0.15049262898886617</c:v>
                </c:pt>
                <c:pt idx="42">
                  <c:v>-7.5491731787415972E-2</c:v>
                </c:pt>
                <c:pt idx="43">
                  <c:v>-8.6188896057263875E-2</c:v>
                </c:pt>
                <c:pt idx="44">
                  <c:v>-6.1796516572790949E-2</c:v>
                </c:pt>
                <c:pt idx="45">
                  <c:v>0.11440505307893289</c:v>
                </c:pt>
                <c:pt idx="46">
                  <c:v>-0.32132129007488963</c:v>
                </c:pt>
                <c:pt idx="47">
                  <c:v>-0.1870185029338316</c:v>
                </c:pt>
                <c:pt idx="48">
                  <c:v>-8.5021684625397498E-2</c:v>
                </c:pt>
                <c:pt idx="49">
                  <c:v>-0.14110876548883056</c:v>
                </c:pt>
                <c:pt idx="50">
                  <c:v>0.17837629621960893</c:v>
                </c:pt>
                <c:pt idx="51">
                  <c:v>-0.25486865253584234</c:v>
                </c:pt>
                <c:pt idx="52">
                  <c:v>5.9864826844913566E-2</c:v>
                </c:pt>
                <c:pt idx="53">
                  <c:v>-4.61316253988997E-3</c:v>
                </c:pt>
                <c:pt idx="54">
                  <c:v>0.40329283799245985</c:v>
                </c:pt>
                <c:pt idx="55">
                  <c:v>-0.21327376373949036</c:v>
                </c:pt>
                <c:pt idx="56">
                  <c:v>-8.4126600547280717E-2</c:v>
                </c:pt>
                <c:pt idx="57">
                  <c:v>0.12619575949058692</c:v>
                </c:pt>
                <c:pt idx="58">
                  <c:v>0.14789668653939536</c:v>
                </c:pt>
                <c:pt idx="59">
                  <c:v>-0.23393196663654869</c:v>
                </c:pt>
                <c:pt idx="60">
                  <c:v>-1.8277499214148563E-2</c:v>
                </c:pt>
                <c:pt idx="61">
                  <c:v>-5.593695194505699E-5</c:v>
                </c:pt>
                <c:pt idx="62">
                  <c:v>-5.7651846023194508E-2</c:v>
                </c:pt>
                <c:pt idx="63">
                  <c:v>0.34215466024166652</c:v>
                </c:pt>
                <c:pt idx="64">
                  <c:v>-0.30245466189000325</c:v>
                </c:pt>
                <c:pt idx="65">
                  <c:v>5.2776287288551771E-3</c:v>
                </c:pt>
                <c:pt idx="66">
                  <c:v>-0.22505834481411036</c:v>
                </c:pt>
                <c:pt idx="67">
                  <c:v>-0.17050928240882435</c:v>
                </c:pt>
                <c:pt idx="68">
                  <c:v>-2.0850466468905537E-2</c:v>
                </c:pt>
                <c:pt idx="69">
                  <c:v>0.20423861736768245</c:v>
                </c:pt>
                <c:pt idx="70">
                  <c:v>9.4596980365990291E-2</c:v>
                </c:pt>
                <c:pt idx="71">
                  <c:v>0.36244627890057579</c:v>
                </c:pt>
                <c:pt idx="72">
                  <c:v>-2.9718211624624402E-2</c:v>
                </c:pt>
                <c:pt idx="73">
                  <c:v>-0.111778524930223</c:v>
                </c:pt>
                <c:pt idx="74">
                  <c:v>-3.5722626672445301E-2</c:v>
                </c:pt>
                <c:pt idx="75">
                  <c:v>0.42358408922423152</c:v>
                </c:pt>
                <c:pt idx="76">
                  <c:v>-1.3752985799870387E-2</c:v>
                </c:pt>
                <c:pt idx="77">
                  <c:v>-0.34494173711868115</c:v>
                </c:pt>
                <c:pt idx="78">
                  <c:v>-6.319930115626704E-2</c:v>
                </c:pt>
                <c:pt idx="79">
                  <c:v>0.87013799947357384</c:v>
                </c:pt>
                <c:pt idx="80">
                  <c:v>0.56632827749123216</c:v>
                </c:pt>
                <c:pt idx="81">
                  <c:v>-4.6970220440842425E-2</c:v>
                </c:pt>
                <c:pt idx="82">
                  <c:v>-0.44786310891786307</c:v>
                </c:pt>
                <c:pt idx="83">
                  <c:v>-5.7922732135617494E-2</c:v>
                </c:pt>
                <c:pt idx="84">
                  <c:v>-0.25397542915878368</c:v>
                </c:pt>
              </c:numCache>
            </c:numRef>
          </c:yVal>
          <c:smooth val="0"/>
          <c:extLst>
            <c:ext xmlns:c16="http://schemas.microsoft.com/office/drawing/2014/chart" uri="{C3380CC4-5D6E-409C-BE32-E72D297353CC}">
              <c16:uniqueId val="{00000001-9546-B249-B81B-F99420F06C29}"/>
            </c:ext>
          </c:extLst>
        </c:ser>
        <c:dLbls>
          <c:showLegendKey val="0"/>
          <c:showVal val="0"/>
          <c:showCatName val="0"/>
          <c:showSerName val="0"/>
          <c:showPercent val="0"/>
          <c:showBubbleSize val="0"/>
        </c:dLbls>
        <c:axId val="1842985296"/>
        <c:axId val="1718124048"/>
      </c:scatterChart>
      <c:valAx>
        <c:axId val="1842985296"/>
        <c:scaling>
          <c:orientation val="minMax"/>
        </c:scaling>
        <c:delete val="0"/>
        <c:axPos val="b"/>
        <c:title>
          <c:tx>
            <c:rich>
              <a:bodyPr/>
              <a:lstStyle/>
              <a:p>
                <a:pPr>
                  <a:defRPr/>
                </a:pPr>
                <a:r>
                  <a:rPr lang="en"/>
                  <a:t>X</a:t>
                </a:r>
              </a:p>
            </c:rich>
          </c:tx>
          <c:overlay val="0"/>
        </c:title>
        <c:numFmt formatCode="_-* #\ ##0_-;\-* #\ ##0_-;_-* &quot;-&quot;??_-;_-@_-" sourceLinked="1"/>
        <c:majorTickMark val="out"/>
        <c:minorTickMark val="none"/>
        <c:tickLblPos val="nextTo"/>
        <c:crossAx val="1718124048"/>
        <c:crosses val="autoZero"/>
        <c:crossBetween val="midCat"/>
      </c:valAx>
      <c:valAx>
        <c:axId val="1718124048"/>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184298529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
              <a:t>X </a:t>
            </a:r>
            <a:r>
              <a:rPr lang="ru-RU"/>
              <a:t>График остатков</a:t>
            </a:r>
          </a:p>
        </c:rich>
      </c:tx>
      <c:overlay val="0"/>
    </c:title>
    <c:autoTitleDeleted val="0"/>
    <c:plotArea>
      <c:layout/>
      <c:scatterChart>
        <c:scatterStyle val="lineMarker"/>
        <c:varyColors val="0"/>
        <c:ser>
          <c:idx val="0"/>
          <c:order val="0"/>
          <c:spPr>
            <a:ln w="19050">
              <a:noFill/>
            </a:ln>
          </c:spPr>
          <c:xVal>
            <c:numRef>
              <c:f>Экспоненциальная!$A$2:$A$86</c:f>
              <c:numCache>
                <c:formatCode>_-* #\ ##0_-;\-* #\ ##0_-;_-* "-"??_-;_-@_-</c:formatCode>
                <c:ptCount val="85"/>
                <c:pt idx="0">
                  <c:v>77149</c:v>
                </c:pt>
                <c:pt idx="1">
                  <c:v>90442</c:v>
                </c:pt>
                <c:pt idx="2">
                  <c:v>107047</c:v>
                </c:pt>
                <c:pt idx="3">
                  <c:v>59369</c:v>
                </c:pt>
                <c:pt idx="4">
                  <c:v>83556</c:v>
                </c:pt>
                <c:pt idx="5">
                  <c:v>70346</c:v>
                </c:pt>
                <c:pt idx="6">
                  <c:v>78606</c:v>
                </c:pt>
                <c:pt idx="7">
                  <c:v>87372</c:v>
                </c:pt>
                <c:pt idx="8">
                  <c:v>85908</c:v>
                </c:pt>
                <c:pt idx="9">
                  <c:v>76797</c:v>
                </c:pt>
                <c:pt idx="10">
                  <c:v>87015</c:v>
                </c:pt>
                <c:pt idx="11">
                  <c:v>83105</c:v>
                </c:pt>
                <c:pt idx="12">
                  <c:v>75584</c:v>
                </c:pt>
                <c:pt idx="13">
                  <c:v>79302</c:v>
                </c:pt>
                <c:pt idx="14">
                  <c:v>72618</c:v>
                </c:pt>
                <c:pt idx="15">
                  <c:v>114401</c:v>
                </c:pt>
                <c:pt idx="16">
                  <c:v>80241</c:v>
                </c:pt>
                <c:pt idx="17">
                  <c:v>125583</c:v>
                </c:pt>
                <c:pt idx="18">
                  <c:v>67347</c:v>
                </c:pt>
                <c:pt idx="19">
                  <c:v>83731</c:v>
                </c:pt>
                <c:pt idx="20">
                  <c:v>83168</c:v>
                </c:pt>
                <c:pt idx="21">
                  <c:v>72253</c:v>
                </c:pt>
                <c:pt idx="22">
                  <c:v>184607</c:v>
                </c:pt>
                <c:pt idx="23">
                  <c:v>108297</c:v>
                </c:pt>
                <c:pt idx="24">
                  <c:v>56306</c:v>
                </c:pt>
                <c:pt idx="25">
                  <c:v>70911</c:v>
                </c:pt>
                <c:pt idx="26">
                  <c:v>79469</c:v>
                </c:pt>
                <c:pt idx="27">
                  <c:v>92815</c:v>
                </c:pt>
                <c:pt idx="28">
                  <c:v>130530</c:v>
                </c:pt>
                <c:pt idx="29">
                  <c:v>110587</c:v>
                </c:pt>
                <c:pt idx="30">
                  <c:v>140661</c:v>
                </c:pt>
                <c:pt idx="31">
                  <c:v>95039</c:v>
                </c:pt>
                <c:pt idx="32">
                  <c:v>105440</c:v>
                </c:pt>
                <c:pt idx="33">
                  <c:v>80066</c:v>
                </c:pt>
                <c:pt idx="34">
                  <c:v>113585</c:v>
                </c:pt>
                <c:pt idx="35">
                  <c:v>92297</c:v>
                </c:pt>
                <c:pt idx="36">
                  <c:v>74419</c:v>
                </c:pt>
                <c:pt idx="37">
                  <c:v>77534</c:v>
                </c:pt>
                <c:pt idx="38">
                  <c:v>76315</c:v>
                </c:pt>
                <c:pt idx="39">
                  <c:v>107695</c:v>
                </c:pt>
                <c:pt idx="40">
                  <c:v>134478</c:v>
                </c:pt>
                <c:pt idx="41">
                  <c:v>70545</c:v>
                </c:pt>
                <c:pt idx="42">
                  <c:v>61750</c:v>
                </c:pt>
                <c:pt idx="43">
                  <c:v>84262</c:v>
                </c:pt>
                <c:pt idx="44">
                  <c:v>90667</c:v>
                </c:pt>
                <c:pt idx="45">
                  <c:v>73536</c:v>
                </c:pt>
                <c:pt idx="46">
                  <c:v>64100</c:v>
                </c:pt>
                <c:pt idx="47">
                  <c:v>24816</c:v>
                </c:pt>
                <c:pt idx="48">
                  <c:v>40166</c:v>
                </c:pt>
                <c:pt idx="49">
                  <c:v>120273</c:v>
                </c:pt>
                <c:pt idx="50">
                  <c:v>96407</c:v>
                </c:pt>
                <c:pt idx="51">
                  <c:v>89422</c:v>
                </c:pt>
                <c:pt idx="52">
                  <c:v>52294</c:v>
                </c:pt>
                <c:pt idx="53">
                  <c:v>52126</c:v>
                </c:pt>
                <c:pt idx="54">
                  <c:v>118877</c:v>
                </c:pt>
                <c:pt idx="55">
                  <c:v>58610</c:v>
                </c:pt>
                <c:pt idx="56">
                  <c:v>114065</c:v>
                </c:pt>
                <c:pt idx="57">
                  <c:v>58383</c:v>
                </c:pt>
                <c:pt idx="58">
                  <c:v>64698</c:v>
                </c:pt>
                <c:pt idx="59">
                  <c:v>106713</c:v>
                </c:pt>
                <c:pt idx="60">
                  <c:v>75112</c:v>
                </c:pt>
                <c:pt idx="61">
                  <c:v>87081</c:v>
                </c:pt>
                <c:pt idx="62">
                  <c:v>65624</c:v>
                </c:pt>
                <c:pt idx="63">
                  <c:v>133994</c:v>
                </c:pt>
                <c:pt idx="64">
                  <c:v>158779</c:v>
                </c:pt>
                <c:pt idx="65">
                  <c:v>59996</c:v>
                </c:pt>
                <c:pt idx="66">
                  <c:v>90020</c:v>
                </c:pt>
                <c:pt idx="67">
                  <c:v>74538</c:v>
                </c:pt>
                <c:pt idx="68">
                  <c:v>76218</c:v>
                </c:pt>
                <c:pt idx="69">
                  <c:v>70818</c:v>
                </c:pt>
                <c:pt idx="70">
                  <c:v>79125</c:v>
                </c:pt>
                <c:pt idx="71">
                  <c:v>119041</c:v>
                </c:pt>
                <c:pt idx="72">
                  <c:v>85129</c:v>
                </c:pt>
                <c:pt idx="73">
                  <c:v>78123</c:v>
                </c:pt>
                <c:pt idx="74">
                  <c:v>135821</c:v>
                </c:pt>
                <c:pt idx="75">
                  <c:v>112512</c:v>
                </c:pt>
                <c:pt idx="76">
                  <c:v>90766</c:v>
                </c:pt>
                <c:pt idx="77">
                  <c:v>57057</c:v>
                </c:pt>
                <c:pt idx="78">
                  <c:v>72932</c:v>
                </c:pt>
                <c:pt idx="79">
                  <c:v>106794</c:v>
                </c:pt>
                <c:pt idx="80">
                  <c:v>134791</c:v>
                </c:pt>
                <c:pt idx="81">
                  <c:v>84096</c:v>
                </c:pt>
                <c:pt idx="82">
                  <c:v>307068</c:v>
                </c:pt>
                <c:pt idx="83">
                  <c:v>174153</c:v>
                </c:pt>
                <c:pt idx="84">
                  <c:v>94248</c:v>
                </c:pt>
              </c:numCache>
            </c:numRef>
          </c:xVal>
          <c:yVal>
            <c:numRef>
              <c:f>Экспоненциальная!$G$26:$G$110</c:f>
              <c:numCache>
                <c:formatCode>General</c:formatCode>
                <c:ptCount val="85"/>
                <c:pt idx="0">
                  <c:v>-0.18373072648903666</c:v>
                </c:pt>
                <c:pt idx="1">
                  <c:v>0.19258809539386235</c:v>
                </c:pt>
                <c:pt idx="2">
                  <c:v>8.8272761752168805E-2</c:v>
                </c:pt>
                <c:pt idx="3">
                  <c:v>4.3684428464970892E-2</c:v>
                </c:pt>
                <c:pt idx="4">
                  <c:v>-4.6607867851582441E-2</c:v>
                </c:pt>
                <c:pt idx="5">
                  <c:v>-8.7604469315500921E-2</c:v>
                </c:pt>
                <c:pt idx="6">
                  <c:v>-3.456579231647261E-2</c:v>
                </c:pt>
                <c:pt idx="7">
                  <c:v>-0.14082019577333149</c:v>
                </c:pt>
                <c:pt idx="8">
                  <c:v>2.230068730228929E-2</c:v>
                </c:pt>
                <c:pt idx="9">
                  <c:v>-4.536378793937601E-2</c:v>
                </c:pt>
                <c:pt idx="10">
                  <c:v>0.113085252795738</c:v>
                </c:pt>
                <c:pt idx="11">
                  <c:v>0.21395612526659136</c:v>
                </c:pt>
                <c:pt idx="12">
                  <c:v>-0.28055403055628858</c:v>
                </c:pt>
                <c:pt idx="13">
                  <c:v>0.25896016386907839</c:v>
                </c:pt>
                <c:pt idx="14">
                  <c:v>-0.3300757563471084</c:v>
                </c:pt>
                <c:pt idx="15">
                  <c:v>-0.21488756427500988</c:v>
                </c:pt>
                <c:pt idx="16">
                  <c:v>9.2522982589901659E-2</c:v>
                </c:pt>
                <c:pt idx="17">
                  <c:v>0.40914555788042684</c:v>
                </c:pt>
                <c:pt idx="18">
                  <c:v>-0.257576969043118</c:v>
                </c:pt>
                <c:pt idx="19">
                  <c:v>0.12471113816474855</c:v>
                </c:pt>
                <c:pt idx="20">
                  <c:v>-0.16646595668860265</c:v>
                </c:pt>
                <c:pt idx="21">
                  <c:v>-0.12628662119637468</c:v>
                </c:pt>
                <c:pt idx="22">
                  <c:v>-0.56941517981923617</c:v>
                </c:pt>
                <c:pt idx="23">
                  <c:v>0.17608870264841237</c:v>
                </c:pt>
                <c:pt idx="24">
                  <c:v>7.2038355564544077E-2</c:v>
                </c:pt>
                <c:pt idx="25">
                  <c:v>1.6630349989824822E-2</c:v>
                </c:pt>
                <c:pt idx="26">
                  <c:v>0.1973444015652337</c:v>
                </c:pt>
                <c:pt idx="27">
                  <c:v>-7.1814737179048294E-2</c:v>
                </c:pt>
                <c:pt idx="28">
                  <c:v>0.5475738584168699</c:v>
                </c:pt>
                <c:pt idx="29">
                  <c:v>0.20575183289869692</c:v>
                </c:pt>
                <c:pt idx="30">
                  <c:v>0.17154151082154101</c:v>
                </c:pt>
                <c:pt idx="31">
                  <c:v>0.60617106982954461</c:v>
                </c:pt>
                <c:pt idx="32">
                  <c:v>-0.1193871198023988</c:v>
                </c:pt>
                <c:pt idx="33">
                  <c:v>-7.0440825559581199E-2</c:v>
                </c:pt>
                <c:pt idx="34">
                  <c:v>-6.813246695075037E-2</c:v>
                </c:pt>
                <c:pt idx="35">
                  <c:v>-0.10403039867166086</c:v>
                </c:pt>
                <c:pt idx="36">
                  <c:v>-2.0392804119508057E-2</c:v>
                </c:pt>
                <c:pt idx="37">
                  <c:v>-0.17064880933642179</c:v>
                </c:pt>
                <c:pt idx="38">
                  <c:v>-0.14004265684223682</c:v>
                </c:pt>
                <c:pt idx="39">
                  <c:v>-5.9126545659443863E-2</c:v>
                </c:pt>
                <c:pt idx="40">
                  <c:v>-4.3234907187510885E-2</c:v>
                </c:pt>
                <c:pt idx="41">
                  <c:v>-0.15049262898886617</c:v>
                </c:pt>
                <c:pt idx="42">
                  <c:v>-7.5491731787415972E-2</c:v>
                </c:pt>
                <c:pt idx="43">
                  <c:v>-8.6188896057263875E-2</c:v>
                </c:pt>
                <c:pt idx="44">
                  <c:v>-6.1796516572790949E-2</c:v>
                </c:pt>
                <c:pt idx="45">
                  <c:v>0.11440505307893289</c:v>
                </c:pt>
                <c:pt idx="46">
                  <c:v>-0.32132129007488963</c:v>
                </c:pt>
                <c:pt idx="47">
                  <c:v>-0.1870185029338316</c:v>
                </c:pt>
                <c:pt idx="48">
                  <c:v>-8.5021684625397498E-2</c:v>
                </c:pt>
                <c:pt idx="49">
                  <c:v>-0.14110876548883056</c:v>
                </c:pt>
                <c:pt idx="50">
                  <c:v>0.17837629621960893</c:v>
                </c:pt>
                <c:pt idx="51">
                  <c:v>-0.25486865253584234</c:v>
                </c:pt>
                <c:pt idx="52">
                  <c:v>5.9864826844913566E-2</c:v>
                </c:pt>
                <c:pt idx="53">
                  <c:v>-4.61316253988997E-3</c:v>
                </c:pt>
                <c:pt idx="54">
                  <c:v>0.40329283799245985</c:v>
                </c:pt>
                <c:pt idx="55">
                  <c:v>-0.21327376373949036</c:v>
                </c:pt>
                <c:pt idx="56">
                  <c:v>-8.4126600547280717E-2</c:v>
                </c:pt>
                <c:pt idx="57">
                  <c:v>0.12619575949058692</c:v>
                </c:pt>
                <c:pt idx="58">
                  <c:v>0.14789668653939536</c:v>
                </c:pt>
                <c:pt idx="59">
                  <c:v>-0.23393196663654869</c:v>
                </c:pt>
                <c:pt idx="60">
                  <c:v>-1.8277499214148563E-2</c:v>
                </c:pt>
                <c:pt idx="61">
                  <c:v>-5.593695194505699E-5</c:v>
                </c:pt>
                <c:pt idx="62">
                  <c:v>-5.7651846023194508E-2</c:v>
                </c:pt>
                <c:pt idx="63">
                  <c:v>0.34215466024166652</c:v>
                </c:pt>
                <c:pt idx="64">
                  <c:v>-0.30245466189000325</c:v>
                </c:pt>
                <c:pt idx="65">
                  <c:v>5.2776287288551771E-3</c:v>
                </c:pt>
                <c:pt idx="66">
                  <c:v>-0.22505834481411036</c:v>
                </c:pt>
                <c:pt idx="67">
                  <c:v>-0.17050928240882435</c:v>
                </c:pt>
                <c:pt idx="68">
                  <c:v>-2.0850466468905537E-2</c:v>
                </c:pt>
                <c:pt idx="69">
                  <c:v>0.20423861736768245</c:v>
                </c:pt>
                <c:pt idx="70">
                  <c:v>9.4596980365990291E-2</c:v>
                </c:pt>
                <c:pt idx="71">
                  <c:v>0.36244627890057579</c:v>
                </c:pt>
                <c:pt idx="72">
                  <c:v>-2.9718211624624402E-2</c:v>
                </c:pt>
                <c:pt idx="73">
                  <c:v>-0.111778524930223</c:v>
                </c:pt>
                <c:pt idx="74">
                  <c:v>-3.5722626672445301E-2</c:v>
                </c:pt>
                <c:pt idx="75">
                  <c:v>0.42358408922423152</c:v>
                </c:pt>
                <c:pt idx="76">
                  <c:v>-1.3752985799870387E-2</c:v>
                </c:pt>
                <c:pt idx="77">
                  <c:v>-0.34494173711868115</c:v>
                </c:pt>
                <c:pt idx="78">
                  <c:v>-6.319930115626704E-2</c:v>
                </c:pt>
                <c:pt idx="79">
                  <c:v>0.87013799947357384</c:v>
                </c:pt>
                <c:pt idx="80">
                  <c:v>0.56632827749123216</c:v>
                </c:pt>
                <c:pt idx="81">
                  <c:v>-4.6970220440842425E-2</c:v>
                </c:pt>
                <c:pt idx="82">
                  <c:v>-0.44786310891786307</c:v>
                </c:pt>
                <c:pt idx="83">
                  <c:v>-5.7922732135617494E-2</c:v>
                </c:pt>
                <c:pt idx="84">
                  <c:v>-0.25397542915878368</c:v>
                </c:pt>
              </c:numCache>
            </c:numRef>
          </c:yVal>
          <c:smooth val="0"/>
          <c:extLst>
            <c:ext xmlns:c16="http://schemas.microsoft.com/office/drawing/2014/chart" uri="{C3380CC4-5D6E-409C-BE32-E72D297353CC}">
              <c16:uniqueId val="{00000001-990D-5D4A-9E78-BD3A46DEBFF1}"/>
            </c:ext>
          </c:extLst>
        </c:ser>
        <c:dLbls>
          <c:showLegendKey val="0"/>
          <c:showVal val="0"/>
          <c:showCatName val="0"/>
          <c:showSerName val="0"/>
          <c:showPercent val="0"/>
          <c:showBubbleSize val="0"/>
        </c:dLbls>
        <c:axId val="136847776"/>
        <c:axId val="136849424"/>
      </c:scatterChart>
      <c:valAx>
        <c:axId val="136847776"/>
        <c:scaling>
          <c:orientation val="minMax"/>
        </c:scaling>
        <c:delete val="0"/>
        <c:axPos val="b"/>
        <c:title>
          <c:tx>
            <c:rich>
              <a:bodyPr/>
              <a:lstStyle/>
              <a:p>
                <a:pPr>
                  <a:defRPr/>
                </a:pPr>
                <a:r>
                  <a:rPr lang="en"/>
                  <a:t>X</a:t>
                </a:r>
              </a:p>
            </c:rich>
          </c:tx>
          <c:overlay val="0"/>
        </c:title>
        <c:numFmt formatCode="_-* #\ ##0_-;\-* #\ ##0_-;_-* &quot;-&quot;??_-;_-@_-" sourceLinked="1"/>
        <c:majorTickMark val="out"/>
        <c:minorTickMark val="none"/>
        <c:tickLblPos val="nextTo"/>
        <c:crossAx val="136849424"/>
        <c:crosses val="autoZero"/>
        <c:crossBetween val="midCat"/>
      </c:valAx>
      <c:valAx>
        <c:axId val="136849424"/>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1368477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650913</xdr:colOff>
      <xdr:row>33</xdr:row>
      <xdr:rowOff>184911</xdr:rowOff>
    </xdr:from>
    <xdr:to>
      <xdr:col>15</xdr:col>
      <xdr:colOff>16932</xdr:colOff>
      <xdr:row>54</xdr:row>
      <xdr:rowOff>89123</xdr:rowOff>
    </xdr:to>
    <xdr:graphicFrame macro="">
      <xdr:nvGraphicFramePr>
        <xdr:cNvPr id="4" name="Диаграмма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457200</xdr:colOff>
      <xdr:row>75</xdr:row>
      <xdr:rowOff>0</xdr:rowOff>
    </xdr:from>
    <xdr:to>
      <xdr:col>19</xdr:col>
      <xdr:colOff>457200</xdr:colOff>
      <xdr:row>85</xdr:row>
      <xdr:rowOff>38100</xdr:rowOff>
    </xdr:to>
    <xdr:graphicFrame macro="">
      <xdr:nvGraphicFramePr>
        <xdr:cNvPr id="5" name="Диаграмма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75</xdr:row>
      <xdr:rowOff>0</xdr:rowOff>
    </xdr:from>
    <xdr:to>
      <xdr:col>20</xdr:col>
      <xdr:colOff>457200</xdr:colOff>
      <xdr:row>85</xdr:row>
      <xdr:rowOff>25400</xdr:rowOff>
    </xdr:to>
    <xdr:graphicFrame macro="">
      <xdr:nvGraphicFramePr>
        <xdr:cNvPr id="6" name="Диаграмма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190499</xdr:colOff>
      <xdr:row>21</xdr:row>
      <xdr:rowOff>102839</xdr:rowOff>
    </xdr:from>
    <xdr:to>
      <xdr:col>10</xdr:col>
      <xdr:colOff>398589</xdr:colOff>
      <xdr:row>22</xdr:row>
      <xdr:rowOff>92769</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00000000-0008-0000-0100-000004000000}"/>
                </a:ext>
              </a:extLst>
            </xdr:cNvPr>
            <xdr:cNvSpPr txBox="1"/>
          </xdr:nvSpPr>
          <xdr:spPr>
            <a:xfrm>
              <a:off x="9080499" y="4555583"/>
              <a:ext cx="2813527" cy="191271"/>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14:m>
                <m:oMath xmlns:m="http://schemas.openxmlformats.org/officeDocument/2006/math">
                  <m:r>
                    <a:rPr lang="en-US" sz="1200" b="0" i="1">
                      <a:latin typeface="Cambria Math" panose="02040503050406030204" pitchFamily="18" charset="0"/>
                    </a:rPr>
                    <m:t>𝑌</m:t>
                  </m:r>
                  <m:r>
                    <a:rPr lang="en-US" sz="1200" b="0" i="1">
                      <a:latin typeface="Cambria Math" panose="02040503050406030204" pitchFamily="18" charset="0"/>
                    </a:rPr>
                    <m:t>= </m:t>
                  </m:r>
                  <m:r>
                    <m:rPr>
                      <m:nor/>
                    </m:rPr>
                    <a:rPr lang="ru-RU" sz="1200" b="0" i="0" u="none" strike="noStrike">
                      <a:solidFill>
                        <a:schemeClr val="tx1"/>
                      </a:solidFill>
                      <a:effectLst/>
                      <a:latin typeface="+mn-lt"/>
                      <a:ea typeface="+mn-ea"/>
                      <a:cs typeface="+mn-cs"/>
                    </a:rPr>
                    <m:t>5265,03</m:t>
                  </m:r>
                  <m:r>
                    <m:rPr>
                      <m:nor/>
                    </m:rPr>
                    <a:rPr lang="ru-RU" sz="1200"/>
                    <m:t> </m:t>
                  </m:r>
                </m:oMath>
              </a14:m>
              <a:r>
                <a:rPr lang="en-US" sz="1200"/>
                <a:t>+ </a:t>
              </a:r>
              <a:r>
                <a:rPr lang="ru-RU" sz="1200" b="0" i="0" u="none" strike="noStrike">
                  <a:solidFill>
                    <a:schemeClr val="tx1"/>
                  </a:solidFill>
                  <a:effectLst/>
                  <a:latin typeface="+mn-lt"/>
                  <a:ea typeface="+mn-ea"/>
                  <a:cs typeface="+mn-cs"/>
                </a:rPr>
                <a:t>0,93</a:t>
              </a:r>
              <a:r>
                <a:rPr lang="en-US" sz="1200" b="0" i="0" u="none" strike="noStrike" baseline="0">
                  <a:solidFill>
                    <a:schemeClr val="tx1"/>
                  </a:solidFill>
                  <a:effectLst/>
                  <a:latin typeface="+mn-lt"/>
                  <a:ea typeface="+mn-ea"/>
                  <a:cs typeface="+mn-cs"/>
                </a:rPr>
                <a:t> X -</a:t>
              </a:r>
              <a:r>
                <a:rPr lang="ru-RU" sz="1200" b="0" i="0" u="none" strike="noStrike" baseline="0">
                  <a:solidFill>
                    <a:schemeClr val="tx1"/>
                  </a:solidFill>
                  <a:effectLst/>
                  <a:latin typeface="+mn-lt"/>
                  <a:ea typeface="+mn-ea"/>
                  <a:cs typeface="+mn-cs"/>
                </a:rPr>
                <a:t> </a:t>
              </a:r>
              <a:r>
                <a:rPr lang="ru-RU" sz="1200" b="0" i="0" u="none" strike="noStrike">
                  <a:solidFill>
                    <a:schemeClr val="tx1"/>
                  </a:solidFill>
                  <a:effectLst/>
                  <a:latin typeface="+mn-lt"/>
                  <a:ea typeface="+mn-ea"/>
                  <a:cs typeface="+mn-cs"/>
                </a:rPr>
                <a:t>0,00000144688</a:t>
              </a:r>
              <a:r>
                <a:rPr lang="en-US" sz="1200" b="0" i="0" u="none" strike="noStrike">
                  <a:solidFill>
                    <a:schemeClr val="tx1"/>
                  </a:solidFill>
                  <a:effectLst/>
                  <a:latin typeface="+mn-lt"/>
                  <a:ea typeface="+mn-ea"/>
                  <a:cs typeface="+mn-cs"/>
                </a:rPr>
                <a:t> </a:t>
              </a:r>
              <a14:m>
                <m:oMath xmlns:m="http://schemas.openxmlformats.org/officeDocument/2006/math">
                  <m:sSup>
                    <m:sSupPr>
                      <m:ctrlPr>
                        <a:rPr lang="ru-RU" sz="1200" i="1">
                          <a:latin typeface="Cambria Math" panose="02040503050406030204" pitchFamily="18" charset="0"/>
                        </a:rPr>
                      </m:ctrlPr>
                    </m:sSupPr>
                    <m:e>
                      <m:r>
                        <a:rPr lang="en-US" sz="1200" b="0" i="1">
                          <a:latin typeface="Cambria Math" panose="02040503050406030204" pitchFamily="18" charset="0"/>
                        </a:rPr>
                        <m:t>𝑋</m:t>
                      </m:r>
                    </m:e>
                    <m:sup>
                      <m:r>
                        <a:rPr lang="en-US" sz="1200" b="0" i="1">
                          <a:latin typeface="Cambria Math" panose="02040503050406030204" pitchFamily="18" charset="0"/>
                        </a:rPr>
                        <m:t>2</m:t>
                      </m:r>
                    </m:sup>
                  </m:sSup>
                </m:oMath>
              </a14:m>
              <a:r>
                <a:rPr lang="ru-RU" sz="1200" b="0" i="0" u="none" strike="noStrike" baseline="0">
                  <a:solidFill>
                    <a:schemeClr val="tx1"/>
                  </a:solidFill>
                  <a:effectLst/>
                  <a:latin typeface="+mn-lt"/>
                  <a:ea typeface="+mn-ea"/>
                  <a:cs typeface="+mn-cs"/>
                </a:rPr>
                <a:t> </a:t>
              </a:r>
              <a:r>
                <a:rPr lang="ru-RU" sz="1200"/>
                <a:t> </a:t>
              </a:r>
              <a:r>
                <a:rPr lang="ru-RU" sz="1200" b="0" i="0" u="none" strike="noStrike" baseline="0">
                  <a:solidFill>
                    <a:schemeClr val="tx1"/>
                  </a:solidFill>
                  <a:effectLst/>
                  <a:latin typeface="+mn-lt"/>
                  <a:ea typeface="+mn-ea"/>
                  <a:cs typeface="+mn-cs"/>
                </a:rPr>
                <a:t> </a:t>
              </a:r>
              <a:r>
                <a:rPr lang="en-US" sz="1200" b="0" i="0" u="none" strike="noStrike" baseline="0">
                  <a:solidFill>
                    <a:schemeClr val="tx1"/>
                  </a:solidFill>
                  <a:effectLst/>
                  <a:latin typeface="+mn-lt"/>
                  <a:ea typeface="+mn-ea"/>
                  <a:cs typeface="+mn-cs"/>
                </a:rPr>
                <a:t> </a:t>
              </a:r>
              <a:endParaRPr lang="ru-RU" sz="1200"/>
            </a:p>
          </xdr:txBody>
        </xdr:sp>
      </mc:Choice>
      <mc:Fallback xmlns="">
        <xdr:sp macro="" textlink="">
          <xdr:nvSpPr>
            <xdr:cNvPr id="4" name="TextBox 2">
              <a:extLst>
                <a:ext uri="{FF2B5EF4-FFF2-40B4-BE49-F238E27FC236}">
                  <a16:creationId xmlns:a16="http://schemas.microsoft.com/office/drawing/2014/main" id="{251E5AF0-B5C3-B94D-AA5E-3B6E39EF1C64}"/>
                </a:ext>
              </a:extLst>
            </xdr:cNvPr>
            <xdr:cNvSpPr txBox="1"/>
          </xdr:nvSpPr>
          <xdr:spPr>
            <a:xfrm>
              <a:off x="9080499" y="4555583"/>
              <a:ext cx="2813527" cy="191271"/>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r>
                <a:rPr lang="en-US" sz="1200" b="0" i="0">
                  <a:latin typeface="Cambria Math" panose="02040503050406030204" pitchFamily="18" charset="0"/>
                </a:rPr>
                <a:t>𝑌= </a:t>
              </a:r>
              <a:r>
                <a:rPr lang="ru-RU" sz="1200" b="0" i="0" u="none" strike="noStrike">
                  <a:solidFill>
                    <a:schemeClr val="tx1"/>
                  </a:solidFill>
                  <a:effectLst/>
                  <a:latin typeface="Cambria Math" panose="02040503050406030204" pitchFamily="18" charset="0"/>
                  <a:ea typeface="+mn-ea"/>
                  <a:cs typeface="+mn-cs"/>
                </a:rPr>
                <a:t>"5265,03</a:t>
              </a:r>
              <a:r>
                <a:rPr lang="ru-RU" sz="1200" i="0">
                  <a:latin typeface="Cambria Math" panose="02040503050406030204" pitchFamily="18" charset="0"/>
                </a:rPr>
                <a:t> </a:t>
              </a:r>
              <a:r>
                <a:rPr lang="ru-RU" sz="1200" i="0"/>
                <a:t>"</a:t>
              </a:r>
              <a:r>
                <a:rPr lang="en-US" sz="1200"/>
                <a:t>+ </a:t>
              </a:r>
              <a:r>
                <a:rPr lang="ru-RU" sz="1200" b="0" i="0" u="none" strike="noStrike">
                  <a:solidFill>
                    <a:schemeClr val="tx1"/>
                  </a:solidFill>
                  <a:effectLst/>
                  <a:latin typeface="+mn-lt"/>
                  <a:ea typeface="+mn-ea"/>
                  <a:cs typeface="+mn-cs"/>
                </a:rPr>
                <a:t>0,93</a:t>
              </a:r>
              <a:r>
                <a:rPr lang="en-US" sz="1200" b="0" i="0" u="none" strike="noStrike" baseline="0">
                  <a:solidFill>
                    <a:schemeClr val="tx1"/>
                  </a:solidFill>
                  <a:effectLst/>
                  <a:latin typeface="+mn-lt"/>
                  <a:ea typeface="+mn-ea"/>
                  <a:cs typeface="+mn-cs"/>
                </a:rPr>
                <a:t> X -</a:t>
              </a:r>
              <a:r>
                <a:rPr lang="ru-RU" sz="1200" b="0" i="0" u="none" strike="noStrike" baseline="0">
                  <a:solidFill>
                    <a:schemeClr val="tx1"/>
                  </a:solidFill>
                  <a:effectLst/>
                  <a:latin typeface="+mn-lt"/>
                  <a:ea typeface="+mn-ea"/>
                  <a:cs typeface="+mn-cs"/>
                </a:rPr>
                <a:t> </a:t>
              </a:r>
              <a:r>
                <a:rPr lang="ru-RU" sz="1200" b="0" i="0" u="none" strike="noStrike">
                  <a:solidFill>
                    <a:schemeClr val="tx1"/>
                  </a:solidFill>
                  <a:effectLst/>
                  <a:latin typeface="+mn-lt"/>
                  <a:ea typeface="+mn-ea"/>
                  <a:cs typeface="+mn-cs"/>
                </a:rPr>
                <a:t>0,00000144688</a:t>
              </a:r>
              <a:r>
                <a:rPr lang="en-US" sz="1200" b="0" i="0" u="none" strike="noStrike">
                  <a:solidFill>
                    <a:schemeClr val="tx1"/>
                  </a:solidFill>
                  <a:effectLst/>
                  <a:latin typeface="+mn-lt"/>
                  <a:ea typeface="+mn-ea"/>
                  <a:cs typeface="+mn-cs"/>
                </a:rPr>
                <a:t> </a:t>
              </a:r>
              <a:r>
                <a:rPr lang="en-US" sz="1200" b="0" i="0">
                  <a:latin typeface="Cambria Math" panose="02040503050406030204" pitchFamily="18" charset="0"/>
                </a:rPr>
                <a:t>𝑋</a:t>
              </a:r>
              <a:r>
                <a:rPr lang="ru-RU" sz="1200" b="0" i="0">
                  <a:latin typeface="Cambria Math" panose="02040503050406030204" pitchFamily="18" charset="0"/>
                </a:rPr>
                <a:t>^</a:t>
              </a:r>
              <a:r>
                <a:rPr lang="en-US" sz="1200" b="0" i="0">
                  <a:latin typeface="Cambria Math" panose="02040503050406030204" pitchFamily="18" charset="0"/>
                </a:rPr>
                <a:t>2</a:t>
              </a:r>
              <a:r>
                <a:rPr lang="ru-RU" sz="1200" b="0" i="0" u="none" strike="noStrike" baseline="0">
                  <a:solidFill>
                    <a:schemeClr val="tx1"/>
                  </a:solidFill>
                  <a:effectLst/>
                  <a:latin typeface="+mn-lt"/>
                  <a:ea typeface="+mn-ea"/>
                  <a:cs typeface="+mn-cs"/>
                </a:rPr>
                <a:t> </a:t>
              </a:r>
              <a:r>
                <a:rPr lang="ru-RU" sz="1200"/>
                <a:t> </a:t>
              </a:r>
              <a:r>
                <a:rPr lang="ru-RU" sz="1200" b="0" i="0" u="none" strike="noStrike" baseline="0">
                  <a:solidFill>
                    <a:schemeClr val="tx1"/>
                  </a:solidFill>
                  <a:effectLst/>
                  <a:latin typeface="+mn-lt"/>
                  <a:ea typeface="+mn-ea"/>
                  <a:cs typeface="+mn-cs"/>
                </a:rPr>
                <a:t> </a:t>
              </a:r>
              <a:r>
                <a:rPr lang="en-US" sz="1200" b="0" i="0" u="none" strike="noStrike" baseline="0">
                  <a:solidFill>
                    <a:schemeClr val="tx1"/>
                  </a:solidFill>
                  <a:effectLst/>
                  <a:latin typeface="+mn-lt"/>
                  <a:ea typeface="+mn-ea"/>
                  <a:cs typeface="+mn-cs"/>
                </a:rPr>
                <a:t> </a:t>
              </a:r>
              <a:endParaRPr lang="ru-RU" sz="12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177799</xdr:colOff>
      <xdr:row>1</xdr:row>
      <xdr:rowOff>177800</xdr:rowOff>
    </xdr:from>
    <xdr:to>
      <xdr:col>33</xdr:col>
      <xdr:colOff>634999</xdr:colOff>
      <xdr:row>15</xdr:row>
      <xdr:rowOff>19243</xdr:rowOff>
    </xdr:to>
    <xdr:graphicFrame macro="">
      <xdr:nvGraphicFramePr>
        <xdr:cNvPr id="4" name="Диаграмма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450850</xdr:colOff>
      <xdr:row>21</xdr:row>
      <xdr:rowOff>63500</xdr:rowOff>
    </xdr:from>
    <xdr:ext cx="2178051" cy="3122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547350" y="4432300"/>
              <a:ext cx="2178051" cy="312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𝑌</m:t>
                    </m:r>
                    <m:r>
                      <a:rPr lang="en-US" sz="1100" b="0" i="1">
                        <a:latin typeface="Cambria Math" panose="02040503050406030204" pitchFamily="18" charset="0"/>
                      </a:rPr>
                      <m:t>= </m:t>
                    </m:r>
                    <m:r>
                      <m:rPr>
                        <m:nor/>
                      </m:rPr>
                      <a:rPr lang="ru-RU" sz="1100" b="0" i="0" u="none" strike="noStrike">
                        <a:solidFill>
                          <a:schemeClr val="tx1"/>
                        </a:solidFill>
                        <a:effectLst/>
                        <a:latin typeface="+mn-lt"/>
                        <a:ea typeface="+mn-ea"/>
                        <a:cs typeface="+mn-cs"/>
                      </a:rPr>
                      <m:t>119234,50</m:t>
                    </m:r>
                    <m:r>
                      <m:rPr>
                        <m:nor/>
                      </m:rPr>
                      <a:rPr lang="en-US" sz="1100" b="0" i="0" u="none" strike="noStrike">
                        <a:solidFill>
                          <a:schemeClr val="tx1"/>
                        </a:solidFill>
                        <a:effectLst/>
                        <a:latin typeface="+mn-lt"/>
                        <a:ea typeface="+mn-ea"/>
                        <a:cs typeface="+mn-cs"/>
                      </a:rPr>
                      <m:t> </m:t>
                    </m:r>
                    <m:r>
                      <a:rPr lang="en-US" sz="1100" b="0" i="1" u="none" strike="noStrike">
                        <a:solidFill>
                          <a:schemeClr val="tx1"/>
                        </a:solidFill>
                        <a:effectLst/>
                        <a:latin typeface="Cambria Math" panose="02040503050406030204" pitchFamily="18" charset="0"/>
                        <a:ea typeface="+mn-ea"/>
                        <a:cs typeface="+mn-cs"/>
                      </a:rPr>
                      <m:t>−</m:t>
                    </m:r>
                    <m:f>
                      <m:fPr>
                        <m:ctrlPr>
                          <a:rPr lang="en-US" sz="1100" b="0" i="1" u="none" strike="noStrike">
                            <a:solidFill>
                              <a:schemeClr val="tx1"/>
                            </a:solidFill>
                            <a:effectLst/>
                            <a:latin typeface="Cambria Math" panose="02040503050406030204" pitchFamily="18" charset="0"/>
                            <a:ea typeface="+mn-ea"/>
                            <a:cs typeface="+mn-cs"/>
                          </a:rPr>
                        </m:ctrlPr>
                      </m:fPr>
                      <m:num>
                        <m:r>
                          <m:rPr>
                            <m:nor/>
                          </m:rPr>
                          <a:rPr lang="ru-RU" sz="1100" b="0" i="0" u="none" strike="noStrike">
                            <a:solidFill>
                              <a:schemeClr val="tx1"/>
                            </a:solidFill>
                            <a:effectLst/>
                            <a:latin typeface="+mn-lt"/>
                            <a:ea typeface="+mn-ea"/>
                            <a:cs typeface="+mn-cs"/>
                          </a:rPr>
                          <m:t>3477914413,80</m:t>
                        </m:r>
                        <m:r>
                          <m:rPr>
                            <m:nor/>
                          </m:rPr>
                          <a:rPr lang="ru-RU"/>
                          <m:t> </m:t>
                        </m:r>
                      </m:num>
                      <m:den>
                        <m:r>
                          <a:rPr lang="en-US" sz="1100" b="0" i="1" u="none" strike="noStrike">
                            <a:solidFill>
                              <a:schemeClr val="tx1"/>
                            </a:solidFill>
                            <a:effectLst/>
                            <a:latin typeface="Cambria Math" panose="02040503050406030204" pitchFamily="18" charset="0"/>
                            <a:ea typeface="+mn-ea"/>
                            <a:cs typeface="+mn-cs"/>
                          </a:rPr>
                          <m:t>𝑋</m:t>
                        </m:r>
                      </m:den>
                    </m:f>
                    <m:r>
                      <m:rPr>
                        <m:nor/>
                      </m:rPr>
                      <a:rPr lang="ru-RU"/>
                      <m:t> </m:t>
                    </m:r>
                  </m:oMath>
                </m:oMathPara>
              </a14:m>
              <a:endParaRPr lang="ru-RU" sz="1100"/>
            </a:p>
          </xdr:txBody>
        </xdr:sp>
      </mc:Choice>
      <mc:Fallback xmlns="">
        <xdr:sp macro="" textlink="">
          <xdr:nvSpPr>
            <xdr:cNvPr id="2" name="TextBox 1">
              <a:extLst>
                <a:ext uri="{FF2B5EF4-FFF2-40B4-BE49-F238E27FC236}">
                  <a16:creationId xmlns:a16="http://schemas.microsoft.com/office/drawing/2014/main" id="{0F9278F1-C1E1-1446-A7EE-227C4A1C87D5}"/>
                </a:ext>
              </a:extLst>
            </xdr:cNvPr>
            <xdr:cNvSpPr txBox="1"/>
          </xdr:nvSpPr>
          <xdr:spPr>
            <a:xfrm>
              <a:off x="10547350" y="4432300"/>
              <a:ext cx="2178051" cy="312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𝑌= </a:t>
              </a:r>
              <a:r>
                <a:rPr lang="ru-RU" sz="1100" b="0" i="0" u="none" strike="noStrike">
                  <a:solidFill>
                    <a:schemeClr val="tx1"/>
                  </a:solidFill>
                  <a:effectLst/>
                  <a:latin typeface="Cambria Math" panose="02040503050406030204" pitchFamily="18" charset="0"/>
                  <a:ea typeface="+mn-ea"/>
                  <a:cs typeface="+mn-cs"/>
                </a:rPr>
                <a:t>"119234,50</a:t>
              </a:r>
              <a:r>
                <a:rPr lang="en-US" sz="1100" b="0" i="0" u="none" strike="noStrike">
                  <a:solidFill>
                    <a:schemeClr val="tx1"/>
                  </a:solidFill>
                  <a:effectLst/>
                  <a:latin typeface="Cambria Math" panose="02040503050406030204" pitchFamily="18" charset="0"/>
                  <a:ea typeface="+mn-ea"/>
                  <a:cs typeface="+mn-cs"/>
                </a:rPr>
                <a:t> "−</a:t>
              </a:r>
              <a:r>
                <a:rPr lang="ru-RU" sz="1100" b="0" i="0" u="none" strike="noStrike">
                  <a:solidFill>
                    <a:schemeClr val="tx1"/>
                  </a:solidFill>
                  <a:effectLst/>
                  <a:latin typeface="+mn-lt"/>
                  <a:ea typeface="+mn-ea"/>
                  <a:cs typeface="+mn-cs"/>
                </a:rPr>
                <a:t>"3477914413,80</a:t>
              </a:r>
              <a:r>
                <a:rPr lang="ru-RU" i="0"/>
                <a:t> </a:t>
              </a:r>
              <a:r>
                <a:rPr lang="en-US" sz="1100" b="0" i="0" u="none" strike="noStrike">
                  <a:solidFill>
                    <a:schemeClr val="tx1"/>
                  </a:solidFill>
                  <a:effectLst/>
                  <a:latin typeface="Cambria Math" panose="02040503050406030204" pitchFamily="18" charset="0"/>
                  <a:ea typeface="+mn-ea"/>
                  <a:cs typeface="+mn-cs"/>
                </a:rPr>
                <a:t>" /𝑋</a:t>
              </a:r>
              <a:r>
                <a:rPr lang="ru-RU" sz="1100" b="0" i="0" u="none" strike="noStrike">
                  <a:solidFill>
                    <a:schemeClr val="tx1"/>
                  </a:solidFill>
                  <a:effectLst/>
                  <a:latin typeface="Cambria Math" panose="02040503050406030204" pitchFamily="18" charset="0"/>
                  <a:ea typeface="+mn-ea"/>
                  <a:cs typeface="+mn-cs"/>
                </a:rPr>
                <a:t> "</a:t>
              </a:r>
              <a:r>
                <a:rPr lang="ru-RU" i="0">
                  <a:latin typeface="Cambria Math" panose="02040503050406030204" pitchFamily="18" charset="0"/>
                </a:rPr>
                <a:t> </a:t>
              </a:r>
              <a:r>
                <a:rPr lang="ru-RU" i="0"/>
                <a:t>"</a:t>
              </a:r>
              <a:endParaRPr lang="ru-R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13</xdr:col>
      <xdr:colOff>774700</xdr:colOff>
      <xdr:row>4</xdr:row>
      <xdr:rowOff>139700</xdr:rowOff>
    </xdr:from>
    <xdr:to>
      <xdr:col>19</xdr:col>
      <xdr:colOff>774700</xdr:colOff>
      <xdr:row>14</xdr:row>
      <xdr:rowOff>152400</xdr:rowOff>
    </xdr:to>
    <xdr:graphicFrame macro="">
      <xdr:nvGraphicFramePr>
        <xdr:cNvPr id="2" name="Диаграмма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253999</xdr:colOff>
      <xdr:row>20</xdr:row>
      <xdr:rowOff>88899</xdr:rowOff>
    </xdr:from>
    <xdr:ext cx="2235805" cy="24769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9482666" y="4271432"/>
              <a:ext cx="2235805" cy="247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400" b="0" i="1">
                        <a:latin typeface="Cambria Math" panose="02040503050406030204" pitchFamily="18" charset="0"/>
                      </a:rPr>
                      <m:t>𝑌</m:t>
                    </m:r>
                    <m:r>
                      <a:rPr lang="en-US" sz="1400" b="0" i="1">
                        <a:latin typeface="Cambria Math" panose="02040503050406030204" pitchFamily="18" charset="0"/>
                      </a:rPr>
                      <m:t>= </m:t>
                    </m:r>
                    <m:r>
                      <m:rPr>
                        <m:nor/>
                      </m:rPr>
                      <a:rPr lang="ru-RU" sz="1400" b="0" i="0" u="none" strike="noStrike">
                        <a:solidFill>
                          <a:schemeClr val="tx1"/>
                        </a:solidFill>
                        <a:effectLst/>
                        <a:latin typeface="+mn-lt"/>
                        <a:ea typeface="+mn-ea"/>
                        <a:cs typeface="+mn-cs"/>
                      </a:rPr>
                      <m:t>−32211,81</m:t>
                    </m:r>
                    <m:r>
                      <m:rPr>
                        <m:nor/>
                      </m:rPr>
                      <a:rPr lang="en-US" sz="1400" b="0" i="0" u="none" strike="noStrike">
                        <a:solidFill>
                          <a:schemeClr val="tx1"/>
                        </a:solidFill>
                        <a:effectLst/>
                        <a:latin typeface="+mn-lt"/>
                        <a:ea typeface="+mn-ea"/>
                        <a:cs typeface="+mn-cs"/>
                      </a:rPr>
                      <m:t> </m:t>
                    </m:r>
                    <m:r>
                      <a:rPr lang="en-US" sz="1400" b="0" i="1">
                        <a:latin typeface="Cambria Math" panose="02040503050406030204" pitchFamily="18" charset="0"/>
                      </a:rPr>
                      <m:t>+ </m:t>
                    </m:r>
                    <m:r>
                      <m:rPr>
                        <m:nor/>
                      </m:rPr>
                      <a:rPr lang="ru-RU" sz="1400" b="0" i="0" u="none" strike="noStrike">
                        <a:solidFill>
                          <a:schemeClr val="tx1"/>
                        </a:solidFill>
                        <a:effectLst/>
                        <a:latin typeface="+mn-lt"/>
                        <a:ea typeface="+mn-ea"/>
                        <a:cs typeface="+mn-cs"/>
                      </a:rPr>
                      <m:t>364,42</m:t>
                    </m:r>
                    <m:r>
                      <m:rPr>
                        <m:nor/>
                      </m:rPr>
                      <a:rPr lang="ru-RU" sz="1400"/>
                      <m:t> </m:t>
                    </m:r>
                    <m:rad>
                      <m:radPr>
                        <m:degHide m:val="on"/>
                        <m:ctrlPr>
                          <a:rPr lang="en-US" sz="1400" b="0" i="1">
                            <a:latin typeface="Cambria Math" panose="02040503050406030204" pitchFamily="18" charset="0"/>
                          </a:rPr>
                        </m:ctrlPr>
                      </m:radPr>
                      <m:deg/>
                      <m:e>
                        <m:r>
                          <a:rPr lang="en-US" sz="1400" b="0" i="1">
                            <a:latin typeface="Cambria Math" panose="02040503050406030204" pitchFamily="18" charset="0"/>
                          </a:rPr>
                          <m:t>𝑋</m:t>
                        </m:r>
                      </m:e>
                    </m:rad>
                  </m:oMath>
                </m:oMathPara>
              </a14:m>
              <a:endParaRPr lang="ru-RU" sz="1400"/>
            </a:p>
          </xdr:txBody>
        </xdr:sp>
      </mc:Choice>
      <mc:Fallback xmlns="">
        <xdr:sp macro="" textlink="">
          <xdr:nvSpPr>
            <xdr:cNvPr id="3" name="TextBox 2">
              <a:extLst>
                <a:ext uri="{FF2B5EF4-FFF2-40B4-BE49-F238E27FC236}">
                  <a16:creationId xmlns:a16="http://schemas.microsoft.com/office/drawing/2014/main" id="{EB37C7AF-07B0-8E4C-A98F-A6C6536F62A4}"/>
                </a:ext>
              </a:extLst>
            </xdr:cNvPr>
            <xdr:cNvSpPr txBox="1"/>
          </xdr:nvSpPr>
          <xdr:spPr>
            <a:xfrm>
              <a:off x="9482666" y="4271432"/>
              <a:ext cx="2235805" cy="247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b="0" i="0">
                  <a:latin typeface="Cambria Math" panose="02040503050406030204" pitchFamily="18" charset="0"/>
                </a:rPr>
                <a:t>𝑌= </a:t>
              </a:r>
              <a:r>
                <a:rPr lang="ru-RU" sz="1400" b="0" i="0" u="none" strike="noStrike">
                  <a:solidFill>
                    <a:schemeClr val="tx1"/>
                  </a:solidFill>
                  <a:effectLst/>
                  <a:latin typeface="Cambria Math" panose="02040503050406030204" pitchFamily="18" charset="0"/>
                  <a:ea typeface="+mn-ea"/>
                  <a:cs typeface="+mn-cs"/>
                </a:rPr>
                <a:t>"-32211,81</a:t>
              </a:r>
              <a:r>
                <a:rPr lang="en-US" sz="1400" b="0" i="0" u="none" strike="noStrike">
                  <a:solidFill>
                    <a:schemeClr val="tx1"/>
                  </a:solidFill>
                  <a:effectLst/>
                  <a:latin typeface="Cambria Math" panose="02040503050406030204" pitchFamily="18" charset="0"/>
                  <a:ea typeface="+mn-ea"/>
                  <a:cs typeface="+mn-cs"/>
                </a:rPr>
                <a:t> "</a:t>
              </a:r>
              <a:r>
                <a:rPr lang="en-US" sz="1400" b="0" i="0">
                  <a:latin typeface="Cambria Math" panose="02040503050406030204" pitchFamily="18" charset="0"/>
                </a:rPr>
                <a:t>+ </a:t>
              </a:r>
              <a:r>
                <a:rPr lang="ru-RU" sz="1400" b="0" i="0" u="none" strike="noStrike">
                  <a:solidFill>
                    <a:schemeClr val="tx1"/>
                  </a:solidFill>
                  <a:effectLst/>
                  <a:latin typeface="Cambria Math" panose="02040503050406030204" pitchFamily="18" charset="0"/>
                  <a:ea typeface="+mn-ea"/>
                  <a:cs typeface="+mn-cs"/>
                </a:rPr>
                <a:t>"364,42</a:t>
              </a:r>
              <a:r>
                <a:rPr lang="ru-RU" sz="1400" i="0">
                  <a:latin typeface="Cambria Math" panose="02040503050406030204" pitchFamily="18" charset="0"/>
                </a:rPr>
                <a:t> </a:t>
              </a:r>
              <a:r>
                <a:rPr lang="en-US" sz="1400" b="0" i="0">
                  <a:latin typeface="Cambria Math" panose="02040503050406030204" pitchFamily="18" charset="0"/>
                </a:rPr>
                <a:t>" √𝑋</a:t>
              </a:r>
              <a:endParaRPr lang="ru-RU" sz="14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10</xdr:col>
      <xdr:colOff>19957</xdr:colOff>
      <xdr:row>0</xdr:row>
      <xdr:rowOff>177801</xdr:rowOff>
    </xdr:from>
    <xdr:to>
      <xdr:col>15</xdr:col>
      <xdr:colOff>174171</xdr:colOff>
      <xdr:row>10</xdr:row>
      <xdr:rowOff>177801</xdr:rowOff>
    </xdr:to>
    <xdr:graphicFrame macro="">
      <xdr:nvGraphicFramePr>
        <xdr:cNvPr id="2" name="Диаграмма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468084</xdr:colOff>
      <xdr:row>20</xdr:row>
      <xdr:rowOff>90895</xdr:rowOff>
    </xdr:from>
    <xdr:ext cx="1073371" cy="20056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805884" y="4276815"/>
              <a:ext cx="1073371" cy="200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𝑌</m:t>
                    </m:r>
                    <m:r>
                      <a:rPr lang="en-US" sz="1100" b="0" i="1">
                        <a:latin typeface="Cambria Math" panose="02040503050406030204" pitchFamily="18" charset="0"/>
                      </a:rPr>
                      <m:t>= </m:t>
                    </m:r>
                    <m:r>
                      <m:rPr>
                        <m:nor/>
                      </m:rPr>
                      <a:rPr lang="ru-RU" sz="1100" b="0" i="0" u="none" strike="noStrike">
                        <a:solidFill>
                          <a:schemeClr val="tx1"/>
                        </a:solidFill>
                        <a:effectLst/>
                        <a:latin typeface="+mn-lt"/>
                        <a:ea typeface="+mn-ea"/>
                        <a:cs typeface="+mn-cs"/>
                      </a:rPr>
                      <m:t>39,01</m:t>
                    </m:r>
                    <m:r>
                      <m:rPr>
                        <m:nor/>
                      </m:rPr>
                      <a:rPr lang="ru-RU"/>
                      <m:t> </m:t>
                    </m:r>
                    <m:sSup>
                      <m:sSupPr>
                        <m:ctrlPr>
                          <a:rPr lang="ru-RU" i="1">
                            <a:latin typeface="Cambria Math" panose="02040503050406030204" pitchFamily="18" charset="0"/>
                          </a:rPr>
                        </m:ctrlPr>
                      </m:sSupPr>
                      <m:e>
                        <m:r>
                          <a:rPr lang="en-US" b="0" i="1">
                            <a:latin typeface="Cambria Math" panose="02040503050406030204" pitchFamily="18" charset="0"/>
                          </a:rPr>
                          <m:t>𝑋</m:t>
                        </m:r>
                      </m:e>
                      <m:sup>
                        <m:r>
                          <m:rPr>
                            <m:nor/>
                          </m:rPr>
                          <a:rPr lang="ru-RU" sz="1100" b="0" i="0" u="none" strike="noStrike">
                            <a:solidFill>
                              <a:schemeClr val="tx1"/>
                            </a:solidFill>
                            <a:effectLst/>
                            <a:latin typeface="+mn-lt"/>
                            <a:ea typeface="+mn-ea"/>
                            <a:cs typeface="+mn-cs"/>
                          </a:rPr>
                          <m:t>0,66</m:t>
                        </m:r>
                        <m:r>
                          <m:rPr>
                            <m:nor/>
                          </m:rPr>
                          <a:rPr lang="ru-RU"/>
                          <m:t> </m:t>
                        </m:r>
                      </m:sup>
                    </m:sSup>
                  </m:oMath>
                </m:oMathPara>
              </a14:m>
              <a:endParaRPr lang="ru-RU" sz="1100"/>
            </a:p>
          </xdr:txBody>
        </xdr:sp>
      </mc:Choice>
      <mc:Fallback xmlns="">
        <xdr:sp macro="" textlink="">
          <xdr:nvSpPr>
            <xdr:cNvPr id="3" name="TextBox 2">
              <a:extLst>
                <a:ext uri="{FF2B5EF4-FFF2-40B4-BE49-F238E27FC236}">
                  <a16:creationId xmlns:a16="http://schemas.microsoft.com/office/drawing/2014/main" id="{3B0B636B-945F-5D4F-9762-831CB4F81D10}"/>
                </a:ext>
              </a:extLst>
            </xdr:cNvPr>
            <xdr:cNvSpPr txBox="1"/>
          </xdr:nvSpPr>
          <xdr:spPr>
            <a:xfrm>
              <a:off x="10805884" y="4276815"/>
              <a:ext cx="1073371" cy="200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𝑌= </a:t>
              </a:r>
              <a:r>
                <a:rPr lang="ru-RU" sz="1100" b="0" i="0" u="none" strike="noStrike">
                  <a:solidFill>
                    <a:schemeClr val="tx1"/>
                  </a:solidFill>
                  <a:effectLst/>
                  <a:latin typeface="Cambria Math" panose="02040503050406030204" pitchFamily="18" charset="0"/>
                  <a:ea typeface="+mn-ea"/>
                  <a:cs typeface="+mn-cs"/>
                </a:rPr>
                <a:t>"39,01</a:t>
              </a:r>
              <a:r>
                <a:rPr lang="ru-RU" i="0">
                  <a:latin typeface="Cambria Math" panose="02040503050406030204" pitchFamily="18" charset="0"/>
                </a:rPr>
                <a:t> " </a:t>
              </a:r>
              <a:r>
                <a:rPr lang="en-US" b="0" i="0">
                  <a:latin typeface="Cambria Math" panose="02040503050406030204" pitchFamily="18" charset="0"/>
                </a:rPr>
                <a:t>𝑋</a:t>
              </a:r>
              <a:r>
                <a:rPr lang="ru-RU" b="0" i="0">
                  <a:latin typeface="Cambria Math" panose="02040503050406030204" pitchFamily="18" charset="0"/>
                </a:rPr>
                <a:t>^</a:t>
              </a:r>
              <a:r>
                <a:rPr lang="ru-RU" sz="1100" b="0" i="0" u="none" strike="noStrike">
                  <a:solidFill>
                    <a:schemeClr val="tx1"/>
                  </a:solidFill>
                  <a:effectLst/>
                  <a:latin typeface="+mn-lt"/>
                  <a:ea typeface="+mn-ea"/>
                  <a:cs typeface="+mn-cs"/>
                </a:rPr>
                <a:t>"0,66</a:t>
              </a:r>
              <a:r>
                <a:rPr lang="ru-RU" i="0"/>
                <a:t> </a:t>
              </a:r>
              <a:r>
                <a:rPr lang="ru-RU" i="0">
                  <a:latin typeface="Cambria Math" panose="02040503050406030204" pitchFamily="18" charset="0"/>
                </a:rPr>
                <a:t>" </a:t>
              </a:r>
              <a:endParaRPr lang="ru-R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9</xdr:col>
      <xdr:colOff>294082</xdr:colOff>
      <xdr:row>0</xdr:row>
      <xdr:rowOff>188298</xdr:rowOff>
    </xdr:from>
    <xdr:to>
      <xdr:col>14</xdr:col>
      <xdr:colOff>220671</xdr:colOff>
      <xdr:row>10</xdr:row>
      <xdr:rowOff>188299</xdr:rowOff>
    </xdr:to>
    <xdr:graphicFrame macro="">
      <xdr:nvGraphicFramePr>
        <xdr:cNvPr id="2" name="Диаграмма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534660</xdr:colOff>
      <xdr:row>20</xdr:row>
      <xdr:rowOff>75465</xdr:rowOff>
    </xdr:from>
    <xdr:ext cx="2138085" cy="18408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9981234" y="4244708"/>
              <a:ext cx="2138085" cy="184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𝑌</m:t>
                    </m:r>
                    <m:r>
                      <a:rPr lang="en-US" sz="1200" b="0" i="1">
                        <a:latin typeface="Cambria Math" panose="02040503050406030204" pitchFamily="18" charset="0"/>
                      </a:rPr>
                      <m:t>= </m:t>
                    </m:r>
                    <m:r>
                      <m:rPr>
                        <m:nor/>
                      </m:rPr>
                      <a:rPr lang="ru-RU" sz="1200" b="0" i="0" u="none" strike="noStrike">
                        <a:solidFill>
                          <a:schemeClr val="tx1"/>
                        </a:solidFill>
                        <a:effectLst/>
                        <a:latin typeface="+mn-lt"/>
                        <a:ea typeface="+mn-ea"/>
                        <a:cs typeface="+mn-cs"/>
                      </a:rPr>
                      <m:t>42332,41</m:t>
                    </m:r>
                    <m:r>
                      <m:rPr>
                        <m:nor/>
                      </m:rPr>
                      <a:rPr lang="ru-RU" sz="1200"/>
                      <m:t> </m:t>
                    </m:r>
                    <m:r>
                      <a:rPr lang="ru-RU" sz="1200" i="1">
                        <a:latin typeface="Cambria Math" panose="02040503050406030204" pitchFamily="18" charset="0"/>
                        <a:ea typeface="Cambria Math" panose="02040503050406030204" pitchFamily="18" charset="0"/>
                      </a:rPr>
                      <m:t>×</m:t>
                    </m:r>
                    <m:r>
                      <a:rPr lang="en-US" sz="1200" b="0" i="1">
                        <a:latin typeface="Cambria Math" panose="02040503050406030204" pitchFamily="18" charset="0"/>
                        <a:ea typeface="Cambria Math" panose="02040503050406030204" pitchFamily="18" charset="0"/>
                      </a:rPr>
                      <m:t> </m:t>
                    </m:r>
                    <m:sSup>
                      <m:sSupPr>
                        <m:ctrlPr>
                          <a:rPr lang="en-US" sz="1100" b="0" i="1" u="none" strike="noStrike">
                            <a:solidFill>
                              <a:schemeClr val="tx1"/>
                            </a:solidFill>
                            <a:effectLst/>
                            <a:latin typeface="Cambria Math" panose="02040503050406030204" pitchFamily="18" charset="0"/>
                            <a:ea typeface="+mn-ea"/>
                            <a:cs typeface="+mn-cs"/>
                          </a:rPr>
                        </m:ctrlPr>
                      </m:sSupPr>
                      <m:e>
                        <m:r>
                          <a:rPr lang="en-US" sz="1200" b="0" i="1">
                            <a:latin typeface="Cambria Math" panose="02040503050406030204" pitchFamily="18" charset="0"/>
                            <a:ea typeface="Cambria Math" panose="02040503050406030204" pitchFamily="18" charset="0"/>
                          </a:rPr>
                          <m:t>(</m:t>
                        </m:r>
                        <m:r>
                          <m:rPr>
                            <m:nor/>
                          </m:rPr>
                          <a:rPr lang="ru-RU" sz="1100" b="0" i="0" u="none" strike="noStrike">
                            <a:solidFill>
                              <a:schemeClr val="tx1"/>
                            </a:solidFill>
                            <a:effectLst/>
                            <a:latin typeface="+mn-lt"/>
                            <a:ea typeface="+mn-ea"/>
                            <a:cs typeface="+mn-cs"/>
                          </a:rPr>
                          <m:t>1,0000058405</m:t>
                        </m:r>
                        <m:r>
                          <m:rPr>
                            <m:nor/>
                          </m:rPr>
                          <a:rPr lang="en-US" sz="1100" b="0" i="0" u="none" strike="noStrike">
                            <a:solidFill>
                              <a:schemeClr val="tx1"/>
                            </a:solidFill>
                            <a:effectLst/>
                            <a:latin typeface="+mn-lt"/>
                            <a:ea typeface="+mn-ea"/>
                            <a:cs typeface="+mn-cs"/>
                          </a:rPr>
                          <m:t>)</m:t>
                        </m:r>
                      </m:e>
                      <m:sup>
                        <m:r>
                          <a:rPr lang="en-US" sz="1100" b="0" i="1" u="none" strike="noStrike">
                            <a:solidFill>
                              <a:schemeClr val="tx1"/>
                            </a:solidFill>
                            <a:effectLst/>
                            <a:latin typeface="Cambria Math" panose="02040503050406030204" pitchFamily="18" charset="0"/>
                            <a:ea typeface="+mn-ea"/>
                            <a:cs typeface="+mn-cs"/>
                          </a:rPr>
                          <m:t>𝑋</m:t>
                        </m:r>
                      </m:sup>
                    </m:sSup>
                  </m:oMath>
                </m:oMathPara>
              </a14:m>
              <a:endParaRPr lang="ru-RU" sz="1200"/>
            </a:p>
          </xdr:txBody>
        </xdr:sp>
      </mc:Choice>
      <mc:Fallback xmlns="">
        <xdr:sp macro="" textlink="">
          <xdr:nvSpPr>
            <xdr:cNvPr id="3" name="TextBox 2">
              <a:extLst>
                <a:ext uri="{FF2B5EF4-FFF2-40B4-BE49-F238E27FC236}">
                  <a16:creationId xmlns:a16="http://schemas.microsoft.com/office/drawing/2014/main" id="{251E5AF0-B5C3-B94D-AA5E-3B6E39EF1C64}"/>
                </a:ext>
              </a:extLst>
            </xdr:cNvPr>
            <xdr:cNvSpPr txBox="1"/>
          </xdr:nvSpPr>
          <xdr:spPr>
            <a:xfrm>
              <a:off x="9981234" y="4244708"/>
              <a:ext cx="2138085" cy="184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0" i="0">
                  <a:latin typeface="Cambria Math" panose="02040503050406030204" pitchFamily="18" charset="0"/>
                </a:rPr>
                <a:t>𝑌= </a:t>
              </a:r>
              <a:r>
                <a:rPr lang="ru-RU" sz="1200" b="0" i="0" u="none" strike="noStrike">
                  <a:solidFill>
                    <a:schemeClr val="tx1"/>
                  </a:solidFill>
                  <a:effectLst/>
                  <a:latin typeface="Cambria Math" panose="02040503050406030204" pitchFamily="18" charset="0"/>
                  <a:ea typeface="+mn-ea"/>
                  <a:cs typeface="+mn-cs"/>
                </a:rPr>
                <a:t>"42332,41</a:t>
              </a:r>
              <a:r>
                <a:rPr lang="ru-RU" sz="1200" i="0">
                  <a:latin typeface="Cambria Math" panose="02040503050406030204" pitchFamily="18" charset="0"/>
                </a:rPr>
                <a:t> </a:t>
              </a:r>
              <a:r>
                <a:rPr lang="ru-RU" sz="1200" i="0">
                  <a:latin typeface="Cambria Math" panose="02040503050406030204" pitchFamily="18" charset="0"/>
                  <a:ea typeface="Cambria Math" panose="02040503050406030204" pitchFamily="18" charset="0"/>
                </a:rPr>
                <a:t>"×</a:t>
              </a:r>
              <a:r>
                <a:rPr lang="en-US" sz="1200" b="0" i="0">
                  <a:latin typeface="Cambria Math" panose="02040503050406030204" pitchFamily="18" charset="0"/>
                  <a:ea typeface="Cambria Math" panose="02040503050406030204" pitchFamily="18" charset="0"/>
                </a:rPr>
                <a:t> </a:t>
              </a:r>
              <a:r>
                <a:rPr lang="en-US" sz="1100" b="0" i="0" u="none" strike="noStrike">
                  <a:solidFill>
                    <a:schemeClr val="tx1"/>
                  </a:solidFill>
                  <a:effectLst/>
                  <a:latin typeface="Cambria Math" panose="02040503050406030204" pitchFamily="18" charset="0"/>
                  <a:ea typeface="+mn-ea"/>
                  <a:cs typeface="+mn-cs"/>
                </a:rPr>
                <a:t>〖</a:t>
              </a:r>
              <a:r>
                <a:rPr lang="en-US" sz="1200" b="0" i="0">
                  <a:latin typeface="Cambria Math" panose="02040503050406030204" pitchFamily="18" charset="0"/>
                  <a:ea typeface="Cambria Math" panose="02040503050406030204" pitchFamily="18" charset="0"/>
                </a:rPr>
                <a:t>(</a:t>
              </a:r>
              <a:r>
                <a:rPr lang="ru-RU" sz="1100" b="0" i="0" u="none" strike="noStrike">
                  <a:solidFill>
                    <a:schemeClr val="tx1"/>
                  </a:solidFill>
                  <a:effectLst/>
                  <a:latin typeface="+mn-lt"/>
                  <a:ea typeface="+mn-ea"/>
                  <a:cs typeface="+mn-cs"/>
                </a:rPr>
                <a:t>"1,0000058405</a:t>
              </a:r>
              <a:r>
                <a:rPr lang="en-US" sz="1100" b="0" i="0" u="none" strike="noStrike">
                  <a:solidFill>
                    <a:schemeClr val="tx1"/>
                  </a:solidFill>
                  <a:effectLst/>
                  <a:latin typeface="+mn-lt"/>
                  <a:ea typeface="+mn-ea"/>
                  <a:cs typeface="+mn-cs"/>
                </a:rPr>
                <a:t>)</a:t>
              </a:r>
              <a:r>
                <a:rPr lang="en-US" sz="1100" b="0" i="0" u="none" strike="noStrike">
                  <a:solidFill>
                    <a:schemeClr val="tx1"/>
                  </a:solidFill>
                  <a:effectLst/>
                  <a:latin typeface="Cambria Math" panose="02040503050406030204" pitchFamily="18" charset="0"/>
                  <a:ea typeface="+mn-ea"/>
                  <a:cs typeface="+mn-cs"/>
                </a:rPr>
                <a:t>" 〗^𝑋</a:t>
              </a:r>
              <a:endParaRPr lang="ru-RU" sz="12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9</xdr:col>
      <xdr:colOff>12700</xdr:colOff>
      <xdr:row>0</xdr:row>
      <xdr:rowOff>139700</xdr:rowOff>
    </xdr:from>
    <xdr:to>
      <xdr:col>13</xdr:col>
      <xdr:colOff>774700</xdr:colOff>
      <xdr:row>10</xdr:row>
      <xdr:rowOff>139700</xdr:rowOff>
    </xdr:to>
    <xdr:graphicFrame macro="">
      <xdr:nvGraphicFramePr>
        <xdr:cNvPr id="2" name="Диаграмма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533400</xdr:colOff>
      <xdr:row>20</xdr:row>
      <xdr:rowOff>88900</xdr:rowOff>
    </xdr:from>
    <xdr:to>
      <xdr:col>10</xdr:col>
      <xdr:colOff>192623</xdr:colOff>
      <xdr:row>21</xdr:row>
      <xdr:rowOff>104606</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85986" y="4257343"/>
              <a:ext cx="2274982" cy="218906"/>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𝑌</m:t>
                    </m:r>
                    <m:r>
                      <a:rPr lang="en-US" sz="1200" b="0" i="1">
                        <a:latin typeface="Cambria Math" panose="02040503050406030204" pitchFamily="18" charset="0"/>
                      </a:rPr>
                      <m:t>= </m:t>
                    </m:r>
                    <m:r>
                      <m:rPr>
                        <m:nor/>
                      </m:rPr>
                      <a:rPr lang="ru-RU" sz="1200" b="0" i="0" u="none" strike="noStrike">
                        <a:solidFill>
                          <a:schemeClr val="tx1"/>
                        </a:solidFill>
                        <a:effectLst/>
                        <a:latin typeface="+mn-lt"/>
                        <a:ea typeface="+mn-ea"/>
                        <a:cs typeface="+mn-cs"/>
                      </a:rPr>
                      <m:t>42332,41</m:t>
                    </m:r>
                    <m:r>
                      <m:rPr>
                        <m:nor/>
                      </m:rPr>
                      <a:rPr lang="ru-RU" sz="1200"/>
                      <m:t> </m:t>
                    </m:r>
                    <m:sSup>
                      <m:sSupPr>
                        <m:ctrlPr>
                          <a:rPr lang="ru-RU" sz="1200" i="1">
                            <a:latin typeface="Cambria Math" panose="02040503050406030204" pitchFamily="18" charset="0"/>
                          </a:rPr>
                        </m:ctrlPr>
                      </m:sSupPr>
                      <m:e>
                        <m:r>
                          <a:rPr lang="en-US" sz="1200" b="0" i="1">
                            <a:latin typeface="Cambria Math" panose="02040503050406030204" pitchFamily="18" charset="0"/>
                          </a:rPr>
                          <m:t>𝑒</m:t>
                        </m:r>
                      </m:e>
                      <m:sup>
                        <m:r>
                          <m:rPr>
                            <m:nor/>
                          </m:rPr>
                          <a:rPr lang="ru-RU" sz="1200" b="0" i="0" u="none" strike="noStrike">
                            <a:solidFill>
                              <a:schemeClr val="tx1"/>
                            </a:solidFill>
                            <a:effectLst/>
                            <a:latin typeface="+mn-lt"/>
                            <a:ea typeface="+mn-ea"/>
                            <a:cs typeface="+mn-cs"/>
                          </a:rPr>
                          <m:t>0,0000058405011</m:t>
                        </m:r>
                        <m:r>
                          <m:rPr>
                            <m:nor/>
                          </m:rPr>
                          <a:rPr lang="ru-RU" sz="1200"/>
                          <m:t> </m:t>
                        </m:r>
                      </m:sup>
                    </m:sSup>
                    <m:r>
                      <a:rPr lang="en-US" sz="1200" b="0" i="1">
                        <a:latin typeface="Cambria Math" panose="02040503050406030204" pitchFamily="18" charset="0"/>
                      </a:rPr>
                      <m:t> </m:t>
                    </m:r>
                  </m:oMath>
                </m:oMathPara>
              </a14:m>
              <a:endParaRPr lang="ru-RU" sz="1200"/>
            </a:p>
          </xdr:txBody>
        </xdr:sp>
      </mc:Choice>
      <mc:Fallback xmlns="">
        <xdr:sp macro="" textlink="">
          <xdr:nvSpPr>
            <xdr:cNvPr id="3" name="TextBox 2">
              <a:extLst>
                <a:ext uri="{FF2B5EF4-FFF2-40B4-BE49-F238E27FC236}">
                  <a16:creationId xmlns:a16="http://schemas.microsoft.com/office/drawing/2014/main" id="{251E5AF0-B5C3-B94D-AA5E-3B6E39EF1C64}"/>
                </a:ext>
              </a:extLst>
            </xdr:cNvPr>
            <xdr:cNvSpPr txBox="1"/>
          </xdr:nvSpPr>
          <xdr:spPr>
            <a:xfrm>
              <a:off x="9985986" y="4257343"/>
              <a:ext cx="2274982" cy="218906"/>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r>
                <a:rPr lang="en-US" sz="1200" b="0" i="0">
                  <a:latin typeface="Cambria Math" panose="02040503050406030204" pitchFamily="18" charset="0"/>
                </a:rPr>
                <a:t>𝑌= </a:t>
              </a:r>
              <a:r>
                <a:rPr lang="ru-RU" sz="1200" b="0" i="0" u="none" strike="noStrike">
                  <a:solidFill>
                    <a:schemeClr val="tx1"/>
                  </a:solidFill>
                  <a:effectLst/>
                  <a:latin typeface="Cambria Math" panose="02040503050406030204" pitchFamily="18" charset="0"/>
                  <a:ea typeface="+mn-ea"/>
                  <a:cs typeface="+mn-cs"/>
                </a:rPr>
                <a:t>"42332,41</a:t>
              </a:r>
              <a:r>
                <a:rPr lang="ru-RU" sz="1200" i="0">
                  <a:latin typeface="Cambria Math" panose="02040503050406030204" pitchFamily="18" charset="0"/>
                </a:rPr>
                <a:t> " </a:t>
              </a:r>
              <a:r>
                <a:rPr lang="en-US" sz="1200" b="0" i="0">
                  <a:latin typeface="Cambria Math" panose="02040503050406030204" pitchFamily="18" charset="0"/>
                </a:rPr>
                <a:t>𝑒</a:t>
              </a:r>
              <a:r>
                <a:rPr lang="ru-RU" sz="1200" b="0" i="0">
                  <a:latin typeface="Cambria Math" panose="02040503050406030204" pitchFamily="18" charset="0"/>
                </a:rPr>
                <a:t>^</a:t>
              </a:r>
              <a:r>
                <a:rPr lang="ru-RU" sz="1200" b="0" i="0" u="none" strike="noStrike">
                  <a:solidFill>
                    <a:schemeClr val="tx1"/>
                  </a:solidFill>
                  <a:effectLst/>
                  <a:latin typeface="+mn-lt"/>
                  <a:ea typeface="+mn-ea"/>
                  <a:cs typeface="+mn-cs"/>
                </a:rPr>
                <a:t>"0,0000058405011</a:t>
              </a:r>
              <a:r>
                <a:rPr lang="ru-RU" sz="1200" i="0"/>
                <a:t> </a:t>
              </a:r>
              <a:r>
                <a:rPr lang="ru-RU" sz="1200" i="0">
                  <a:latin typeface="Cambria Math" panose="02040503050406030204" pitchFamily="18" charset="0"/>
                </a:rPr>
                <a:t>" </a:t>
              </a:r>
              <a:r>
                <a:rPr lang="en-US" sz="1200" b="0" i="0">
                  <a:latin typeface="Cambria Math" panose="02040503050406030204" pitchFamily="18" charset="0"/>
                </a:rPr>
                <a:t>  </a:t>
              </a:r>
              <a:endParaRPr lang="ru-RU" sz="1200"/>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195385</xdr:colOff>
      <xdr:row>1</xdr:row>
      <xdr:rowOff>29733</xdr:rowOff>
    </xdr:from>
    <xdr:to>
      <xdr:col>2</xdr:col>
      <xdr:colOff>19224</xdr:colOff>
      <xdr:row>1</xdr:row>
      <xdr:rowOff>222510</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26029348-DB7F-DE49-A61B-6AA45E661030}"/>
                </a:ext>
              </a:extLst>
            </xdr:cNvPr>
            <xdr:cNvSpPr txBox="1"/>
          </xdr:nvSpPr>
          <xdr:spPr>
            <a:xfrm>
              <a:off x="1529097" y="246355"/>
              <a:ext cx="2809826" cy="19277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14:m>
                <m:oMath xmlns:m="http://schemas.openxmlformats.org/officeDocument/2006/math">
                  <m:r>
                    <a:rPr lang="en-US" sz="1200" b="0" i="1">
                      <a:latin typeface="Cambria Math" panose="02040503050406030204" pitchFamily="18" charset="0"/>
                    </a:rPr>
                    <m:t>𝑌</m:t>
                  </m:r>
                  <m:r>
                    <a:rPr lang="en-US" sz="1200" b="0" i="1">
                      <a:latin typeface="Cambria Math" panose="02040503050406030204" pitchFamily="18" charset="0"/>
                    </a:rPr>
                    <m:t>= </m:t>
                  </m:r>
                  <m:r>
                    <m:rPr>
                      <m:nor/>
                    </m:rPr>
                    <a:rPr lang="ru-RU" sz="1200" b="0" i="0" u="none" strike="noStrike">
                      <a:solidFill>
                        <a:schemeClr val="tx1"/>
                      </a:solidFill>
                      <a:effectLst/>
                      <a:latin typeface="+mn-lt"/>
                      <a:ea typeface="+mn-ea"/>
                      <a:cs typeface="+mn-cs"/>
                    </a:rPr>
                    <m:t>5265,03</m:t>
                  </m:r>
                  <m:r>
                    <m:rPr>
                      <m:nor/>
                    </m:rPr>
                    <a:rPr lang="ru-RU" sz="1200"/>
                    <m:t> </m:t>
                  </m:r>
                </m:oMath>
              </a14:m>
              <a:r>
                <a:rPr lang="en-US" sz="1200"/>
                <a:t>+ </a:t>
              </a:r>
              <a:r>
                <a:rPr lang="ru-RU" sz="1200" b="0" i="0" u="none" strike="noStrike">
                  <a:solidFill>
                    <a:schemeClr val="tx1"/>
                  </a:solidFill>
                  <a:effectLst/>
                  <a:latin typeface="+mn-lt"/>
                  <a:ea typeface="+mn-ea"/>
                  <a:cs typeface="+mn-cs"/>
                </a:rPr>
                <a:t>0,93</a:t>
              </a:r>
              <a:r>
                <a:rPr lang="en-US" sz="1200" b="0" i="0" u="none" strike="noStrike" baseline="0">
                  <a:solidFill>
                    <a:schemeClr val="tx1"/>
                  </a:solidFill>
                  <a:effectLst/>
                  <a:latin typeface="+mn-lt"/>
                  <a:ea typeface="+mn-ea"/>
                  <a:cs typeface="+mn-cs"/>
                </a:rPr>
                <a:t> X -</a:t>
              </a:r>
              <a:r>
                <a:rPr lang="ru-RU" sz="1200" b="0" i="0" u="none" strike="noStrike" baseline="0">
                  <a:solidFill>
                    <a:schemeClr val="tx1"/>
                  </a:solidFill>
                  <a:effectLst/>
                  <a:latin typeface="+mn-lt"/>
                  <a:ea typeface="+mn-ea"/>
                  <a:cs typeface="+mn-cs"/>
                </a:rPr>
                <a:t> </a:t>
              </a:r>
              <a:r>
                <a:rPr lang="ru-RU" sz="1200" b="0" i="0" u="none" strike="noStrike">
                  <a:solidFill>
                    <a:schemeClr val="tx1"/>
                  </a:solidFill>
                  <a:effectLst/>
                  <a:latin typeface="+mn-lt"/>
                  <a:ea typeface="+mn-ea"/>
                  <a:cs typeface="+mn-cs"/>
                </a:rPr>
                <a:t>0,00000144688</a:t>
              </a:r>
              <a:r>
                <a:rPr lang="en-US" sz="1200" b="0" i="0" u="none" strike="noStrike">
                  <a:solidFill>
                    <a:schemeClr val="tx1"/>
                  </a:solidFill>
                  <a:effectLst/>
                  <a:latin typeface="+mn-lt"/>
                  <a:ea typeface="+mn-ea"/>
                  <a:cs typeface="+mn-cs"/>
                </a:rPr>
                <a:t> </a:t>
              </a:r>
              <a14:m>
                <m:oMath xmlns:m="http://schemas.openxmlformats.org/officeDocument/2006/math">
                  <m:sSup>
                    <m:sSupPr>
                      <m:ctrlPr>
                        <a:rPr lang="ru-RU" sz="1200" i="1">
                          <a:latin typeface="Cambria Math" panose="02040503050406030204" pitchFamily="18" charset="0"/>
                        </a:rPr>
                      </m:ctrlPr>
                    </m:sSupPr>
                    <m:e>
                      <m:r>
                        <a:rPr lang="en-US" sz="1200" b="0" i="1">
                          <a:latin typeface="Cambria Math" panose="02040503050406030204" pitchFamily="18" charset="0"/>
                        </a:rPr>
                        <m:t>𝑋</m:t>
                      </m:r>
                    </m:e>
                    <m:sup>
                      <m:r>
                        <a:rPr lang="en-US" sz="1200" b="0" i="1">
                          <a:latin typeface="Cambria Math" panose="02040503050406030204" pitchFamily="18" charset="0"/>
                        </a:rPr>
                        <m:t>2</m:t>
                      </m:r>
                    </m:sup>
                  </m:sSup>
                </m:oMath>
              </a14:m>
              <a:r>
                <a:rPr lang="ru-RU" sz="1200" b="0" i="0" u="none" strike="noStrike" baseline="0">
                  <a:solidFill>
                    <a:schemeClr val="tx1"/>
                  </a:solidFill>
                  <a:effectLst/>
                  <a:latin typeface="+mn-lt"/>
                  <a:ea typeface="+mn-ea"/>
                  <a:cs typeface="+mn-cs"/>
                </a:rPr>
                <a:t> </a:t>
              </a:r>
              <a:r>
                <a:rPr lang="ru-RU" sz="1200"/>
                <a:t> </a:t>
              </a:r>
              <a:r>
                <a:rPr lang="ru-RU" sz="1200" b="0" i="0" u="none" strike="noStrike" baseline="0">
                  <a:solidFill>
                    <a:schemeClr val="tx1"/>
                  </a:solidFill>
                  <a:effectLst/>
                  <a:latin typeface="+mn-lt"/>
                  <a:ea typeface="+mn-ea"/>
                  <a:cs typeface="+mn-cs"/>
                </a:rPr>
                <a:t> </a:t>
              </a:r>
              <a:r>
                <a:rPr lang="en-US" sz="1200" b="0" i="0" u="none" strike="noStrike" baseline="0">
                  <a:solidFill>
                    <a:schemeClr val="tx1"/>
                  </a:solidFill>
                  <a:effectLst/>
                  <a:latin typeface="+mn-lt"/>
                  <a:ea typeface="+mn-ea"/>
                  <a:cs typeface="+mn-cs"/>
                </a:rPr>
                <a:t> </a:t>
              </a:r>
              <a:endParaRPr lang="ru-RU" sz="1200"/>
            </a:p>
          </xdr:txBody>
        </xdr:sp>
      </mc:Choice>
      <mc:Fallback xmlns="">
        <xdr:sp macro="" textlink="">
          <xdr:nvSpPr>
            <xdr:cNvPr id="2" name="TextBox 2">
              <a:extLst>
                <a:ext uri="{FF2B5EF4-FFF2-40B4-BE49-F238E27FC236}">
                  <a16:creationId xmlns:a16="http://schemas.microsoft.com/office/drawing/2014/main" id="{26029348-DB7F-DE49-A61B-6AA45E661030}"/>
                </a:ext>
              </a:extLst>
            </xdr:cNvPr>
            <xdr:cNvSpPr txBox="1"/>
          </xdr:nvSpPr>
          <xdr:spPr>
            <a:xfrm>
              <a:off x="1529097" y="246355"/>
              <a:ext cx="2809826" cy="19277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US" sz="1200" b="0" i="0">
                  <a:latin typeface="Cambria Math" panose="02040503050406030204" pitchFamily="18" charset="0"/>
                </a:rPr>
                <a:t>𝑌= </a:t>
              </a:r>
              <a:r>
                <a:rPr lang="ru-RU" sz="1200" b="0" i="0" u="none" strike="noStrike">
                  <a:solidFill>
                    <a:schemeClr val="tx1"/>
                  </a:solidFill>
                  <a:effectLst/>
                  <a:latin typeface="Cambria Math" panose="02040503050406030204" pitchFamily="18" charset="0"/>
                  <a:ea typeface="+mn-ea"/>
                  <a:cs typeface="+mn-cs"/>
                </a:rPr>
                <a:t>"5265,03</a:t>
              </a:r>
              <a:r>
                <a:rPr lang="ru-RU" sz="1200" i="0">
                  <a:latin typeface="Cambria Math" panose="02040503050406030204" pitchFamily="18" charset="0"/>
                </a:rPr>
                <a:t> </a:t>
              </a:r>
              <a:r>
                <a:rPr lang="ru-RU" sz="1200" i="0"/>
                <a:t>"</a:t>
              </a:r>
              <a:r>
                <a:rPr lang="en-US" sz="1200"/>
                <a:t>+ </a:t>
              </a:r>
              <a:r>
                <a:rPr lang="ru-RU" sz="1200" b="0" i="0" u="none" strike="noStrike">
                  <a:solidFill>
                    <a:schemeClr val="tx1"/>
                  </a:solidFill>
                  <a:effectLst/>
                  <a:latin typeface="+mn-lt"/>
                  <a:ea typeface="+mn-ea"/>
                  <a:cs typeface="+mn-cs"/>
                </a:rPr>
                <a:t>0,93</a:t>
              </a:r>
              <a:r>
                <a:rPr lang="en-US" sz="1200" b="0" i="0" u="none" strike="noStrike" baseline="0">
                  <a:solidFill>
                    <a:schemeClr val="tx1"/>
                  </a:solidFill>
                  <a:effectLst/>
                  <a:latin typeface="+mn-lt"/>
                  <a:ea typeface="+mn-ea"/>
                  <a:cs typeface="+mn-cs"/>
                </a:rPr>
                <a:t> X -</a:t>
              </a:r>
              <a:r>
                <a:rPr lang="ru-RU" sz="1200" b="0" i="0" u="none" strike="noStrike" baseline="0">
                  <a:solidFill>
                    <a:schemeClr val="tx1"/>
                  </a:solidFill>
                  <a:effectLst/>
                  <a:latin typeface="+mn-lt"/>
                  <a:ea typeface="+mn-ea"/>
                  <a:cs typeface="+mn-cs"/>
                </a:rPr>
                <a:t> </a:t>
              </a:r>
              <a:r>
                <a:rPr lang="ru-RU" sz="1200" b="0" i="0" u="none" strike="noStrike">
                  <a:solidFill>
                    <a:schemeClr val="tx1"/>
                  </a:solidFill>
                  <a:effectLst/>
                  <a:latin typeface="+mn-lt"/>
                  <a:ea typeface="+mn-ea"/>
                  <a:cs typeface="+mn-cs"/>
                </a:rPr>
                <a:t>0,00000144688</a:t>
              </a:r>
              <a:r>
                <a:rPr lang="en-US" sz="1200" b="0" i="0" u="none" strike="noStrike">
                  <a:solidFill>
                    <a:schemeClr val="tx1"/>
                  </a:solidFill>
                  <a:effectLst/>
                  <a:latin typeface="+mn-lt"/>
                  <a:ea typeface="+mn-ea"/>
                  <a:cs typeface="+mn-cs"/>
                </a:rPr>
                <a:t> </a:t>
              </a:r>
              <a:r>
                <a:rPr lang="en-US" sz="1200" b="0" i="0">
                  <a:latin typeface="Cambria Math" panose="02040503050406030204" pitchFamily="18" charset="0"/>
                </a:rPr>
                <a:t>𝑋</a:t>
              </a:r>
              <a:r>
                <a:rPr lang="ru-RU" sz="1200" b="0" i="0">
                  <a:latin typeface="Cambria Math" panose="02040503050406030204" pitchFamily="18" charset="0"/>
                </a:rPr>
                <a:t>^</a:t>
              </a:r>
              <a:r>
                <a:rPr lang="en-US" sz="1200" b="0" i="0">
                  <a:latin typeface="Cambria Math" panose="02040503050406030204" pitchFamily="18" charset="0"/>
                </a:rPr>
                <a:t>2</a:t>
              </a:r>
              <a:r>
                <a:rPr lang="ru-RU" sz="1200" b="0" i="0" u="none" strike="noStrike" baseline="0">
                  <a:solidFill>
                    <a:schemeClr val="tx1"/>
                  </a:solidFill>
                  <a:effectLst/>
                  <a:latin typeface="+mn-lt"/>
                  <a:ea typeface="+mn-ea"/>
                  <a:cs typeface="+mn-cs"/>
                </a:rPr>
                <a:t> </a:t>
              </a:r>
              <a:r>
                <a:rPr lang="ru-RU" sz="1200"/>
                <a:t> </a:t>
              </a:r>
              <a:r>
                <a:rPr lang="ru-RU" sz="1200" b="0" i="0" u="none" strike="noStrike" baseline="0">
                  <a:solidFill>
                    <a:schemeClr val="tx1"/>
                  </a:solidFill>
                  <a:effectLst/>
                  <a:latin typeface="+mn-lt"/>
                  <a:ea typeface="+mn-ea"/>
                  <a:cs typeface="+mn-cs"/>
                </a:rPr>
                <a:t> </a:t>
              </a:r>
              <a:r>
                <a:rPr lang="en-US" sz="1200" b="0" i="0" u="none" strike="noStrike" baseline="0">
                  <a:solidFill>
                    <a:schemeClr val="tx1"/>
                  </a:solidFill>
                  <a:effectLst/>
                  <a:latin typeface="+mn-lt"/>
                  <a:ea typeface="+mn-ea"/>
                  <a:cs typeface="+mn-cs"/>
                </a:rPr>
                <a:t> </a:t>
              </a:r>
              <a:endParaRPr lang="ru-RU" sz="1200"/>
            </a:p>
          </xdr:txBody>
        </xdr:sp>
      </mc:Fallback>
    </mc:AlternateContent>
    <xdr:clientData/>
  </xdr:twoCellAnchor>
  <xdr:oneCellAnchor>
    <xdr:from>
      <xdr:col>1</xdr:col>
      <xdr:colOff>496957</xdr:colOff>
      <xdr:row>2</xdr:row>
      <xdr:rowOff>42475</xdr:rowOff>
    </xdr:from>
    <xdr:ext cx="2178051" cy="3122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9EBB5AC-F087-B846-A8F3-E18D42AA34C4}"/>
                </a:ext>
              </a:extLst>
            </xdr:cNvPr>
            <xdr:cNvSpPr txBox="1"/>
          </xdr:nvSpPr>
          <xdr:spPr>
            <a:xfrm>
              <a:off x="1830669" y="526689"/>
              <a:ext cx="2178051" cy="312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𝑌</m:t>
                    </m:r>
                    <m:r>
                      <a:rPr lang="en-US" sz="1100" b="0" i="1">
                        <a:latin typeface="Cambria Math" panose="02040503050406030204" pitchFamily="18" charset="0"/>
                      </a:rPr>
                      <m:t>= </m:t>
                    </m:r>
                    <m:r>
                      <m:rPr>
                        <m:nor/>
                      </m:rPr>
                      <a:rPr lang="ru-RU" sz="1100" b="0" i="0" u="none" strike="noStrike">
                        <a:solidFill>
                          <a:schemeClr val="tx1"/>
                        </a:solidFill>
                        <a:effectLst/>
                        <a:latin typeface="+mn-lt"/>
                        <a:ea typeface="+mn-ea"/>
                        <a:cs typeface="+mn-cs"/>
                      </a:rPr>
                      <m:t>119234,50</m:t>
                    </m:r>
                    <m:r>
                      <m:rPr>
                        <m:nor/>
                      </m:rPr>
                      <a:rPr lang="en-US" sz="1100" b="0" i="0" u="none" strike="noStrike">
                        <a:solidFill>
                          <a:schemeClr val="tx1"/>
                        </a:solidFill>
                        <a:effectLst/>
                        <a:latin typeface="+mn-lt"/>
                        <a:ea typeface="+mn-ea"/>
                        <a:cs typeface="+mn-cs"/>
                      </a:rPr>
                      <m:t> </m:t>
                    </m:r>
                    <m:r>
                      <a:rPr lang="en-US" sz="1100" b="0" i="1" u="none" strike="noStrike">
                        <a:solidFill>
                          <a:schemeClr val="tx1"/>
                        </a:solidFill>
                        <a:effectLst/>
                        <a:latin typeface="Cambria Math" panose="02040503050406030204" pitchFamily="18" charset="0"/>
                        <a:ea typeface="+mn-ea"/>
                        <a:cs typeface="+mn-cs"/>
                      </a:rPr>
                      <m:t>−</m:t>
                    </m:r>
                    <m:f>
                      <m:fPr>
                        <m:ctrlPr>
                          <a:rPr lang="en-US" sz="1100" b="0" i="1" u="none" strike="noStrike">
                            <a:solidFill>
                              <a:schemeClr val="tx1"/>
                            </a:solidFill>
                            <a:effectLst/>
                            <a:latin typeface="Cambria Math" panose="02040503050406030204" pitchFamily="18" charset="0"/>
                            <a:ea typeface="+mn-ea"/>
                            <a:cs typeface="+mn-cs"/>
                          </a:rPr>
                        </m:ctrlPr>
                      </m:fPr>
                      <m:num>
                        <m:r>
                          <m:rPr>
                            <m:nor/>
                          </m:rPr>
                          <a:rPr lang="ru-RU" sz="1100" b="0" i="0" u="none" strike="noStrike">
                            <a:solidFill>
                              <a:schemeClr val="tx1"/>
                            </a:solidFill>
                            <a:effectLst/>
                            <a:latin typeface="+mn-lt"/>
                            <a:ea typeface="+mn-ea"/>
                            <a:cs typeface="+mn-cs"/>
                          </a:rPr>
                          <m:t>3477914413,80</m:t>
                        </m:r>
                        <m:r>
                          <m:rPr>
                            <m:nor/>
                          </m:rPr>
                          <a:rPr lang="ru-RU"/>
                          <m:t> </m:t>
                        </m:r>
                      </m:num>
                      <m:den>
                        <m:r>
                          <a:rPr lang="en-US" sz="1100" b="0" i="1" u="none" strike="noStrike">
                            <a:solidFill>
                              <a:schemeClr val="tx1"/>
                            </a:solidFill>
                            <a:effectLst/>
                            <a:latin typeface="Cambria Math" panose="02040503050406030204" pitchFamily="18" charset="0"/>
                            <a:ea typeface="+mn-ea"/>
                            <a:cs typeface="+mn-cs"/>
                          </a:rPr>
                          <m:t>𝑋</m:t>
                        </m:r>
                      </m:den>
                    </m:f>
                    <m:r>
                      <m:rPr>
                        <m:nor/>
                      </m:rPr>
                      <a:rPr lang="ru-RU"/>
                      <m:t> </m:t>
                    </m:r>
                  </m:oMath>
                </m:oMathPara>
              </a14:m>
              <a:endParaRPr lang="ru-RU" sz="1100"/>
            </a:p>
          </xdr:txBody>
        </xdr:sp>
      </mc:Choice>
      <mc:Fallback xmlns="">
        <xdr:sp macro="" textlink="">
          <xdr:nvSpPr>
            <xdr:cNvPr id="3" name="TextBox 2">
              <a:extLst>
                <a:ext uri="{FF2B5EF4-FFF2-40B4-BE49-F238E27FC236}">
                  <a16:creationId xmlns:a16="http://schemas.microsoft.com/office/drawing/2014/main" id="{59EBB5AC-F087-B846-A8F3-E18D42AA34C4}"/>
                </a:ext>
              </a:extLst>
            </xdr:cNvPr>
            <xdr:cNvSpPr txBox="1"/>
          </xdr:nvSpPr>
          <xdr:spPr>
            <a:xfrm>
              <a:off x="1830669" y="526689"/>
              <a:ext cx="2178051" cy="312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𝑌= </a:t>
              </a:r>
              <a:r>
                <a:rPr lang="ru-RU" sz="1100" b="0" i="0" u="none" strike="noStrike">
                  <a:solidFill>
                    <a:schemeClr val="tx1"/>
                  </a:solidFill>
                  <a:effectLst/>
                  <a:latin typeface="Cambria Math" panose="02040503050406030204" pitchFamily="18" charset="0"/>
                  <a:ea typeface="+mn-ea"/>
                  <a:cs typeface="+mn-cs"/>
                </a:rPr>
                <a:t>"119234,50</a:t>
              </a:r>
              <a:r>
                <a:rPr lang="en-US" sz="1100" b="0" i="0" u="none" strike="noStrike">
                  <a:solidFill>
                    <a:schemeClr val="tx1"/>
                  </a:solidFill>
                  <a:effectLst/>
                  <a:latin typeface="Cambria Math" panose="02040503050406030204" pitchFamily="18" charset="0"/>
                  <a:ea typeface="+mn-ea"/>
                  <a:cs typeface="+mn-cs"/>
                </a:rPr>
                <a:t> "−</a:t>
              </a:r>
              <a:r>
                <a:rPr lang="ru-RU" sz="1100" b="0" i="0" u="none" strike="noStrike">
                  <a:solidFill>
                    <a:schemeClr val="tx1"/>
                  </a:solidFill>
                  <a:effectLst/>
                  <a:latin typeface="+mn-lt"/>
                  <a:ea typeface="+mn-ea"/>
                  <a:cs typeface="+mn-cs"/>
                </a:rPr>
                <a:t>"3477914413,80</a:t>
              </a:r>
              <a:r>
                <a:rPr lang="ru-RU" i="0"/>
                <a:t> </a:t>
              </a:r>
              <a:r>
                <a:rPr lang="ru-RU" i="0">
                  <a:latin typeface="Cambria Math" panose="02040503050406030204" pitchFamily="18" charset="0"/>
                </a:rPr>
                <a:t>" </a:t>
              </a:r>
              <a:r>
                <a:rPr lang="en-US" sz="1100" b="0" i="0" u="none" strike="noStrike">
                  <a:solidFill>
                    <a:schemeClr val="tx1"/>
                  </a:solidFill>
                  <a:effectLst/>
                  <a:latin typeface="Cambria Math" panose="02040503050406030204" pitchFamily="18" charset="0"/>
                  <a:ea typeface="+mn-ea"/>
                  <a:cs typeface="+mn-cs"/>
                </a:rPr>
                <a:t>/𝑋</a:t>
              </a:r>
              <a:r>
                <a:rPr lang="ru-RU" sz="1100" b="0" i="0" u="none" strike="noStrike">
                  <a:solidFill>
                    <a:schemeClr val="tx1"/>
                  </a:solidFill>
                  <a:effectLst/>
                  <a:latin typeface="Cambria Math" panose="02040503050406030204" pitchFamily="18" charset="0"/>
                  <a:ea typeface="+mn-ea"/>
                  <a:cs typeface="+mn-cs"/>
                </a:rPr>
                <a:t> "</a:t>
              </a:r>
              <a:r>
                <a:rPr lang="ru-RU" i="0">
                  <a:latin typeface="Cambria Math" panose="02040503050406030204" pitchFamily="18" charset="0"/>
                </a:rPr>
                <a:t> </a:t>
              </a:r>
              <a:r>
                <a:rPr lang="ru-RU" i="0"/>
                <a:t>"</a:t>
              </a:r>
              <a:endParaRPr lang="ru-RU" sz="1100"/>
            </a:p>
          </xdr:txBody>
        </xdr:sp>
      </mc:Fallback>
    </mc:AlternateContent>
    <xdr:clientData/>
  </xdr:oneCellAnchor>
  <xdr:oneCellAnchor>
    <xdr:from>
      <xdr:col>1</xdr:col>
      <xdr:colOff>450233</xdr:colOff>
      <xdr:row>3</xdr:row>
      <xdr:rowOff>12743</xdr:rowOff>
    </xdr:from>
    <xdr:ext cx="2235805" cy="24769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C567683-B892-9B42-A6C9-A8BFB3C24DFE}"/>
                </a:ext>
              </a:extLst>
            </xdr:cNvPr>
            <xdr:cNvSpPr txBox="1"/>
          </xdr:nvSpPr>
          <xdr:spPr>
            <a:xfrm>
              <a:off x="1783945" y="917459"/>
              <a:ext cx="2235805" cy="247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400" b="0" i="1">
                        <a:latin typeface="Cambria Math" panose="02040503050406030204" pitchFamily="18" charset="0"/>
                      </a:rPr>
                      <m:t>𝑌</m:t>
                    </m:r>
                    <m:r>
                      <a:rPr lang="en-US" sz="1400" b="0" i="1">
                        <a:latin typeface="Cambria Math" panose="02040503050406030204" pitchFamily="18" charset="0"/>
                      </a:rPr>
                      <m:t>= </m:t>
                    </m:r>
                    <m:r>
                      <m:rPr>
                        <m:nor/>
                      </m:rPr>
                      <a:rPr lang="ru-RU" sz="1400" b="0" i="0" u="none" strike="noStrike">
                        <a:solidFill>
                          <a:schemeClr val="tx1"/>
                        </a:solidFill>
                        <a:effectLst/>
                        <a:latin typeface="+mn-lt"/>
                        <a:ea typeface="+mn-ea"/>
                        <a:cs typeface="+mn-cs"/>
                      </a:rPr>
                      <m:t>−32211,81</m:t>
                    </m:r>
                    <m:r>
                      <m:rPr>
                        <m:nor/>
                      </m:rPr>
                      <a:rPr lang="en-US" sz="1400" b="0" i="0" u="none" strike="noStrike">
                        <a:solidFill>
                          <a:schemeClr val="tx1"/>
                        </a:solidFill>
                        <a:effectLst/>
                        <a:latin typeface="+mn-lt"/>
                        <a:ea typeface="+mn-ea"/>
                        <a:cs typeface="+mn-cs"/>
                      </a:rPr>
                      <m:t> </m:t>
                    </m:r>
                    <m:r>
                      <a:rPr lang="en-US" sz="1400" b="0" i="1">
                        <a:latin typeface="Cambria Math" panose="02040503050406030204" pitchFamily="18" charset="0"/>
                      </a:rPr>
                      <m:t>+ </m:t>
                    </m:r>
                    <m:r>
                      <m:rPr>
                        <m:nor/>
                      </m:rPr>
                      <a:rPr lang="ru-RU" sz="1400" b="0" i="0" u="none" strike="noStrike">
                        <a:solidFill>
                          <a:schemeClr val="tx1"/>
                        </a:solidFill>
                        <a:effectLst/>
                        <a:latin typeface="+mn-lt"/>
                        <a:ea typeface="+mn-ea"/>
                        <a:cs typeface="+mn-cs"/>
                      </a:rPr>
                      <m:t>364,42</m:t>
                    </m:r>
                    <m:r>
                      <m:rPr>
                        <m:nor/>
                      </m:rPr>
                      <a:rPr lang="ru-RU" sz="1400"/>
                      <m:t> </m:t>
                    </m:r>
                    <m:rad>
                      <m:radPr>
                        <m:degHide m:val="on"/>
                        <m:ctrlPr>
                          <a:rPr lang="en-US" sz="1400" b="0" i="1">
                            <a:latin typeface="Cambria Math" panose="02040503050406030204" pitchFamily="18" charset="0"/>
                          </a:rPr>
                        </m:ctrlPr>
                      </m:radPr>
                      <m:deg/>
                      <m:e>
                        <m:r>
                          <a:rPr lang="en-US" sz="1400" b="0" i="1">
                            <a:latin typeface="Cambria Math" panose="02040503050406030204" pitchFamily="18" charset="0"/>
                          </a:rPr>
                          <m:t>𝑋</m:t>
                        </m:r>
                      </m:e>
                    </m:rad>
                  </m:oMath>
                </m:oMathPara>
              </a14:m>
              <a:endParaRPr lang="ru-RU" sz="1400"/>
            </a:p>
          </xdr:txBody>
        </xdr:sp>
      </mc:Choice>
      <mc:Fallback xmlns="">
        <xdr:sp macro="" textlink="">
          <xdr:nvSpPr>
            <xdr:cNvPr id="4" name="TextBox 3">
              <a:extLst>
                <a:ext uri="{FF2B5EF4-FFF2-40B4-BE49-F238E27FC236}">
                  <a16:creationId xmlns:a16="http://schemas.microsoft.com/office/drawing/2014/main" id="{8C567683-B892-9B42-A6C9-A8BFB3C24DFE}"/>
                </a:ext>
              </a:extLst>
            </xdr:cNvPr>
            <xdr:cNvSpPr txBox="1"/>
          </xdr:nvSpPr>
          <xdr:spPr>
            <a:xfrm>
              <a:off x="1783945" y="917459"/>
              <a:ext cx="2235805" cy="247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0" i="0">
                  <a:latin typeface="Cambria Math" panose="02040503050406030204" pitchFamily="18" charset="0"/>
                </a:rPr>
                <a:t>𝑌= </a:t>
              </a:r>
              <a:r>
                <a:rPr lang="ru-RU" sz="1400" b="0" i="0" u="none" strike="noStrike">
                  <a:solidFill>
                    <a:schemeClr val="tx1"/>
                  </a:solidFill>
                  <a:effectLst/>
                  <a:latin typeface="Cambria Math" panose="02040503050406030204" pitchFamily="18" charset="0"/>
                  <a:ea typeface="+mn-ea"/>
                  <a:cs typeface="+mn-cs"/>
                </a:rPr>
                <a:t>"−32211,81</a:t>
              </a:r>
              <a:r>
                <a:rPr lang="en-US" sz="1400" b="0" i="0" u="none" strike="noStrike">
                  <a:solidFill>
                    <a:schemeClr val="tx1"/>
                  </a:solidFill>
                  <a:effectLst/>
                  <a:latin typeface="Cambria Math" panose="02040503050406030204" pitchFamily="18" charset="0"/>
                  <a:ea typeface="+mn-ea"/>
                  <a:cs typeface="+mn-cs"/>
                </a:rPr>
                <a:t> "</a:t>
              </a:r>
              <a:r>
                <a:rPr lang="en-US" sz="1400" b="0" i="0">
                  <a:latin typeface="Cambria Math" panose="02040503050406030204" pitchFamily="18" charset="0"/>
                </a:rPr>
                <a:t>+ </a:t>
              </a:r>
              <a:r>
                <a:rPr lang="ru-RU" sz="1400" b="0" i="0" u="none" strike="noStrike">
                  <a:solidFill>
                    <a:schemeClr val="tx1"/>
                  </a:solidFill>
                  <a:effectLst/>
                  <a:latin typeface="Cambria Math" panose="02040503050406030204" pitchFamily="18" charset="0"/>
                  <a:ea typeface="+mn-ea"/>
                  <a:cs typeface="+mn-cs"/>
                </a:rPr>
                <a:t>"364,42</a:t>
              </a:r>
              <a:r>
                <a:rPr lang="ru-RU" sz="1400" i="0">
                  <a:latin typeface="Cambria Math" panose="02040503050406030204" pitchFamily="18" charset="0"/>
                </a:rPr>
                <a:t> </a:t>
              </a:r>
              <a:r>
                <a:rPr lang="en-US" sz="1400" b="0" i="0">
                  <a:latin typeface="Cambria Math" panose="02040503050406030204" pitchFamily="18" charset="0"/>
                </a:rPr>
                <a:t>" √𝑋</a:t>
              </a:r>
              <a:endParaRPr lang="ru-RU" sz="1400"/>
            </a:p>
          </xdr:txBody>
        </xdr:sp>
      </mc:Fallback>
    </mc:AlternateContent>
    <xdr:clientData/>
  </xdr:oneCellAnchor>
  <xdr:oneCellAnchor>
    <xdr:from>
      <xdr:col>1</xdr:col>
      <xdr:colOff>947190</xdr:colOff>
      <xdr:row>4</xdr:row>
      <xdr:rowOff>21237</xdr:rowOff>
    </xdr:from>
    <xdr:ext cx="1073371" cy="20056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3D08C6F-B841-1448-B6B6-8327C7557862}"/>
                </a:ext>
              </a:extLst>
            </xdr:cNvPr>
            <xdr:cNvSpPr txBox="1"/>
          </xdr:nvSpPr>
          <xdr:spPr>
            <a:xfrm>
              <a:off x="2280902" y="1015150"/>
              <a:ext cx="1073371" cy="200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𝑌</m:t>
                    </m:r>
                    <m:r>
                      <a:rPr lang="en-US" sz="1100" b="0" i="1">
                        <a:latin typeface="Cambria Math" panose="02040503050406030204" pitchFamily="18" charset="0"/>
                      </a:rPr>
                      <m:t>= </m:t>
                    </m:r>
                    <m:r>
                      <m:rPr>
                        <m:nor/>
                      </m:rPr>
                      <a:rPr lang="ru-RU" sz="1100" b="0" i="0" u="none" strike="noStrike">
                        <a:solidFill>
                          <a:schemeClr val="tx1"/>
                        </a:solidFill>
                        <a:effectLst/>
                        <a:latin typeface="+mn-lt"/>
                        <a:ea typeface="+mn-ea"/>
                        <a:cs typeface="+mn-cs"/>
                      </a:rPr>
                      <m:t>39,01</m:t>
                    </m:r>
                    <m:r>
                      <m:rPr>
                        <m:nor/>
                      </m:rPr>
                      <a:rPr lang="ru-RU"/>
                      <m:t> </m:t>
                    </m:r>
                    <m:sSup>
                      <m:sSupPr>
                        <m:ctrlPr>
                          <a:rPr lang="ru-RU" i="1">
                            <a:latin typeface="Cambria Math" panose="02040503050406030204" pitchFamily="18" charset="0"/>
                          </a:rPr>
                        </m:ctrlPr>
                      </m:sSupPr>
                      <m:e>
                        <m:r>
                          <a:rPr lang="en-US" b="0" i="1">
                            <a:latin typeface="Cambria Math" panose="02040503050406030204" pitchFamily="18" charset="0"/>
                          </a:rPr>
                          <m:t>𝑋</m:t>
                        </m:r>
                      </m:e>
                      <m:sup>
                        <m:r>
                          <m:rPr>
                            <m:nor/>
                          </m:rPr>
                          <a:rPr lang="ru-RU" sz="1100" b="0" i="0" u="none" strike="noStrike">
                            <a:solidFill>
                              <a:schemeClr val="tx1"/>
                            </a:solidFill>
                            <a:effectLst/>
                            <a:latin typeface="+mn-lt"/>
                            <a:ea typeface="+mn-ea"/>
                            <a:cs typeface="+mn-cs"/>
                          </a:rPr>
                          <m:t>0,66</m:t>
                        </m:r>
                        <m:r>
                          <m:rPr>
                            <m:nor/>
                          </m:rPr>
                          <a:rPr lang="ru-RU"/>
                          <m:t> </m:t>
                        </m:r>
                      </m:sup>
                    </m:sSup>
                  </m:oMath>
                </m:oMathPara>
              </a14:m>
              <a:endParaRPr lang="ru-RU" sz="1100"/>
            </a:p>
          </xdr:txBody>
        </xdr:sp>
      </mc:Choice>
      <mc:Fallback xmlns="">
        <xdr:sp macro="" textlink="">
          <xdr:nvSpPr>
            <xdr:cNvPr id="5" name="TextBox 4">
              <a:extLst>
                <a:ext uri="{FF2B5EF4-FFF2-40B4-BE49-F238E27FC236}">
                  <a16:creationId xmlns:a16="http://schemas.microsoft.com/office/drawing/2014/main" id="{E3D08C6F-B841-1448-B6B6-8327C7557862}"/>
                </a:ext>
              </a:extLst>
            </xdr:cNvPr>
            <xdr:cNvSpPr txBox="1"/>
          </xdr:nvSpPr>
          <xdr:spPr>
            <a:xfrm>
              <a:off x="2280902" y="1015150"/>
              <a:ext cx="1073371" cy="200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𝑌= </a:t>
              </a:r>
              <a:r>
                <a:rPr lang="ru-RU" sz="1100" b="0" i="0" u="none" strike="noStrike">
                  <a:solidFill>
                    <a:schemeClr val="tx1"/>
                  </a:solidFill>
                  <a:effectLst/>
                  <a:latin typeface="Cambria Math" panose="02040503050406030204" pitchFamily="18" charset="0"/>
                  <a:ea typeface="+mn-ea"/>
                  <a:cs typeface="+mn-cs"/>
                </a:rPr>
                <a:t>"39,01</a:t>
              </a:r>
              <a:r>
                <a:rPr lang="ru-RU" i="0">
                  <a:latin typeface="Cambria Math" panose="02040503050406030204" pitchFamily="18" charset="0"/>
                </a:rPr>
                <a:t> " </a:t>
              </a:r>
              <a:r>
                <a:rPr lang="en-US" b="0" i="0">
                  <a:latin typeface="Cambria Math" panose="02040503050406030204" pitchFamily="18" charset="0"/>
                </a:rPr>
                <a:t>𝑋</a:t>
              </a:r>
              <a:r>
                <a:rPr lang="ru-RU" b="0" i="0">
                  <a:latin typeface="Cambria Math" panose="02040503050406030204" pitchFamily="18" charset="0"/>
                </a:rPr>
                <a:t>^</a:t>
              </a:r>
              <a:r>
                <a:rPr lang="ru-RU" sz="1100" b="0" i="0" u="none" strike="noStrike">
                  <a:solidFill>
                    <a:schemeClr val="tx1"/>
                  </a:solidFill>
                  <a:effectLst/>
                  <a:latin typeface="+mn-lt"/>
                  <a:ea typeface="+mn-ea"/>
                  <a:cs typeface="+mn-cs"/>
                </a:rPr>
                <a:t>"0,66</a:t>
              </a:r>
              <a:r>
                <a:rPr lang="ru-RU" i="0"/>
                <a:t> </a:t>
              </a:r>
              <a:r>
                <a:rPr lang="ru-RU" i="0">
                  <a:latin typeface="Cambria Math" panose="02040503050406030204" pitchFamily="18" charset="0"/>
                </a:rPr>
                <a:t>" </a:t>
              </a:r>
              <a:endParaRPr lang="ru-RU" sz="1100"/>
            </a:p>
          </xdr:txBody>
        </xdr:sp>
      </mc:Fallback>
    </mc:AlternateContent>
    <xdr:clientData/>
  </xdr:oneCellAnchor>
  <xdr:oneCellAnchor>
    <xdr:from>
      <xdr:col>1</xdr:col>
      <xdr:colOff>475719</xdr:colOff>
      <xdr:row>5</xdr:row>
      <xdr:rowOff>50971</xdr:rowOff>
    </xdr:from>
    <xdr:ext cx="2138085" cy="18408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4F2FACA-311F-CC40-83EF-FB40C99E3501}"/>
                </a:ext>
              </a:extLst>
            </xdr:cNvPr>
            <xdr:cNvSpPr txBox="1"/>
          </xdr:nvSpPr>
          <xdr:spPr>
            <a:xfrm>
              <a:off x="1809431" y="1516356"/>
              <a:ext cx="2138085" cy="184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𝑌</m:t>
                    </m:r>
                    <m:r>
                      <a:rPr lang="en-US" sz="1200" b="0" i="1">
                        <a:latin typeface="Cambria Math" panose="02040503050406030204" pitchFamily="18" charset="0"/>
                      </a:rPr>
                      <m:t>= </m:t>
                    </m:r>
                    <m:r>
                      <m:rPr>
                        <m:nor/>
                      </m:rPr>
                      <a:rPr lang="ru-RU" sz="1200" b="0" i="0" u="none" strike="noStrike">
                        <a:solidFill>
                          <a:schemeClr val="tx1"/>
                        </a:solidFill>
                        <a:effectLst/>
                        <a:latin typeface="+mn-lt"/>
                        <a:ea typeface="+mn-ea"/>
                        <a:cs typeface="+mn-cs"/>
                      </a:rPr>
                      <m:t>42332,41</m:t>
                    </m:r>
                    <m:r>
                      <m:rPr>
                        <m:nor/>
                      </m:rPr>
                      <a:rPr lang="ru-RU" sz="1200"/>
                      <m:t> </m:t>
                    </m:r>
                    <m:r>
                      <a:rPr lang="ru-RU" sz="1200" i="1">
                        <a:latin typeface="Cambria Math" panose="02040503050406030204" pitchFamily="18" charset="0"/>
                        <a:ea typeface="Cambria Math" panose="02040503050406030204" pitchFamily="18" charset="0"/>
                      </a:rPr>
                      <m:t>×</m:t>
                    </m:r>
                    <m:r>
                      <a:rPr lang="en-US" sz="1200" b="0" i="1">
                        <a:latin typeface="Cambria Math" panose="02040503050406030204" pitchFamily="18" charset="0"/>
                        <a:ea typeface="Cambria Math" panose="02040503050406030204" pitchFamily="18" charset="0"/>
                      </a:rPr>
                      <m:t> </m:t>
                    </m:r>
                    <m:sSup>
                      <m:sSupPr>
                        <m:ctrlPr>
                          <a:rPr lang="en-US" sz="1100" b="0" i="1" u="none" strike="noStrike">
                            <a:solidFill>
                              <a:schemeClr val="tx1"/>
                            </a:solidFill>
                            <a:effectLst/>
                            <a:latin typeface="Cambria Math" panose="02040503050406030204" pitchFamily="18" charset="0"/>
                            <a:ea typeface="+mn-ea"/>
                            <a:cs typeface="+mn-cs"/>
                          </a:rPr>
                        </m:ctrlPr>
                      </m:sSupPr>
                      <m:e>
                        <m:r>
                          <a:rPr lang="en-US" sz="1200" b="0" i="1">
                            <a:latin typeface="Cambria Math" panose="02040503050406030204" pitchFamily="18" charset="0"/>
                            <a:ea typeface="Cambria Math" panose="02040503050406030204" pitchFamily="18" charset="0"/>
                          </a:rPr>
                          <m:t>(</m:t>
                        </m:r>
                        <m:r>
                          <m:rPr>
                            <m:nor/>
                          </m:rPr>
                          <a:rPr lang="ru-RU" sz="1100" b="0" i="0" u="none" strike="noStrike">
                            <a:solidFill>
                              <a:schemeClr val="tx1"/>
                            </a:solidFill>
                            <a:effectLst/>
                            <a:latin typeface="+mn-lt"/>
                            <a:ea typeface="+mn-ea"/>
                            <a:cs typeface="+mn-cs"/>
                          </a:rPr>
                          <m:t>1,0000058405</m:t>
                        </m:r>
                        <m:r>
                          <m:rPr>
                            <m:nor/>
                          </m:rPr>
                          <a:rPr lang="en-US" sz="1100" b="0" i="0" u="none" strike="noStrike">
                            <a:solidFill>
                              <a:schemeClr val="tx1"/>
                            </a:solidFill>
                            <a:effectLst/>
                            <a:latin typeface="+mn-lt"/>
                            <a:ea typeface="+mn-ea"/>
                            <a:cs typeface="+mn-cs"/>
                          </a:rPr>
                          <m:t>)</m:t>
                        </m:r>
                      </m:e>
                      <m:sup>
                        <m:r>
                          <a:rPr lang="en-US" sz="1100" b="0" i="1" u="none" strike="noStrike">
                            <a:solidFill>
                              <a:schemeClr val="tx1"/>
                            </a:solidFill>
                            <a:effectLst/>
                            <a:latin typeface="Cambria Math" panose="02040503050406030204" pitchFamily="18" charset="0"/>
                            <a:ea typeface="+mn-ea"/>
                            <a:cs typeface="+mn-cs"/>
                          </a:rPr>
                          <m:t>𝑋</m:t>
                        </m:r>
                      </m:sup>
                    </m:sSup>
                  </m:oMath>
                </m:oMathPara>
              </a14:m>
              <a:endParaRPr lang="ru-RU" sz="1200"/>
            </a:p>
          </xdr:txBody>
        </xdr:sp>
      </mc:Choice>
      <mc:Fallback xmlns="">
        <xdr:sp macro="" textlink="">
          <xdr:nvSpPr>
            <xdr:cNvPr id="6" name="TextBox 5">
              <a:extLst>
                <a:ext uri="{FF2B5EF4-FFF2-40B4-BE49-F238E27FC236}">
                  <a16:creationId xmlns:a16="http://schemas.microsoft.com/office/drawing/2014/main" id="{E4F2FACA-311F-CC40-83EF-FB40C99E3501}"/>
                </a:ext>
              </a:extLst>
            </xdr:cNvPr>
            <xdr:cNvSpPr txBox="1"/>
          </xdr:nvSpPr>
          <xdr:spPr>
            <a:xfrm>
              <a:off x="1809431" y="1516356"/>
              <a:ext cx="2138085" cy="184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𝑌= </a:t>
              </a:r>
              <a:r>
                <a:rPr lang="ru-RU" sz="1200" b="0" i="0" u="none" strike="noStrike">
                  <a:solidFill>
                    <a:schemeClr val="tx1"/>
                  </a:solidFill>
                  <a:effectLst/>
                  <a:latin typeface="Cambria Math" panose="02040503050406030204" pitchFamily="18" charset="0"/>
                  <a:ea typeface="+mn-ea"/>
                  <a:cs typeface="+mn-cs"/>
                </a:rPr>
                <a:t>"42332,41</a:t>
              </a:r>
              <a:r>
                <a:rPr lang="ru-RU" sz="1200" i="0">
                  <a:latin typeface="Cambria Math" panose="02040503050406030204" pitchFamily="18" charset="0"/>
                </a:rPr>
                <a:t> </a:t>
              </a:r>
              <a:r>
                <a:rPr lang="ru-RU" sz="1200" i="0">
                  <a:latin typeface="Cambria Math" panose="02040503050406030204" pitchFamily="18" charset="0"/>
                  <a:ea typeface="Cambria Math" panose="02040503050406030204" pitchFamily="18" charset="0"/>
                </a:rPr>
                <a:t>"×</a:t>
              </a:r>
              <a:r>
                <a:rPr lang="en-US" sz="1200" b="0" i="0">
                  <a:latin typeface="Cambria Math" panose="02040503050406030204" pitchFamily="18" charset="0"/>
                  <a:ea typeface="Cambria Math" panose="02040503050406030204" pitchFamily="18" charset="0"/>
                </a:rPr>
                <a:t> </a:t>
              </a:r>
              <a:r>
                <a:rPr lang="en-US" sz="1100" b="0" i="0" u="none" strike="noStrike">
                  <a:solidFill>
                    <a:schemeClr val="tx1"/>
                  </a:solidFill>
                  <a:effectLst/>
                  <a:latin typeface="Cambria Math" panose="02040503050406030204" pitchFamily="18" charset="0"/>
                  <a:ea typeface="+mn-ea"/>
                  <a:cs typeface="+mn-cs"/>
                </a:rPr>
                <a:t>〖</a:t>
              </a:r>
              <a:r>
                <a:rPr lang="en-US" sz="1200" b="0" i="0">
                  <a:latin typeface="Cambria Math" panose="02040503050406030204" pitchFamily="18" charset="0"/>
                  <a:ea typeface="Cambria Math" panose="02040503050406030204" pitchFamily="18" charset="0"/>
                </a:rPr>
                <a:t>(</a:t>
              </a:r>
              <a:r>
                <a:rPr lang="ru-RU" sz="1100" b="0" i="0" u="none" strike="noStrike">
                  <a:solidFill>
                    <a:schemeClr val="tx1"/>
                  </a:solidFill>
                  <a:effectLst/>
                  <a:latin typeface="+mn-lt"/>
                  <a:ea typeface="+mn-ea"/>
                  <a:cs typeface="+mn-cs"/>
                </a:rPr>
                <a:t>"1,0000058405</a:t>
              </a:r>
              <a:r>
                <a:rPr lang="en-US" sz="1100" b="0" i="0" u="none" strike="noStrike">
                  <a:solidFill>
                    <a:schemeClr val="tx1"/>
                  </a:solidFill>
                  <a:effectLst/>
                  <a:latin typeface="+mn-lt"/>
                  <a:ea typeface="+mn-ea"/>
                  <a:cs typeface="+mn-cs"/>
                </a:rPr>
                <a:t>)</a:t>
              </a:r>
              <a:r>
                <a:rPr lang="en-US" sz="1100" b="0" i="0" u="none" strike="noStrike">
                  <a:solidFill>
                    <a:schemeClr val="tx1"/>
                  </a:solidFill>
                  <a:effectLst/>
                  <a:latin typeface="Cambria Math" panose="02040503050406030204" pitchFamily="18" charset="0"/>
                  <a:ea typeface="+mn-ea"/>
                  <a:cs typeface="+mn-cs"/>
                </a:rPr>
                <a:t>" 〗^𝑋</a:t>
              </a:r>
              <a:endParaRPr lang="ru-RU" sz="1200"/>
            </a:p>
          </xdr:txBody>
        </xdr:sp>
      </mc:Fallback>
    </mc:AlternateContent>
    <xdr:clientData/>
  </xdr:oneCellAnchor>
  <xdr:twoCellAnchor editAs="oneCell">
    <xdr:from>
      <xdr:col>1</xdr:col>
      <xdr:colOff>471472</xdr:colOff>
      <xdr:row>6</xdr:row>
      <xdr:rowOff>63712</xdr:rowOff>
    </xdr:from>
    <xdr:to>
      <xdr:col>1</xdr:col>
      <xdr:colOff>2744105</xdr:colOff>
      <xdr:row>6</xdr:row>
      <xdr:rowOff>284967</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B88A36B-0394-9E40-9BB0-784726C2877E}"/>
                </a:ext>
              </a:extLst>
            </xdr:cNvPr>
            <xdr:cNvSpPr txBox="1"/>
          </xdr:nvSpPr>
          <xdr:spPr>
            <a:xfrm>
              <a:off x="1805184" y="1822174"/>
              <a:ext cx="2272633" cy="221255"/>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𝑌</m:t>
                    </m:r>
                    <m:r>
                      <a:rPr lang="en-US" sz="1200" b="0" i="1">
                        <a:latin typeface="Cambria Math" panose="02040503050406030204" pitchFamily="18" charset="0"/>
                      </a:rPr>
                      <m:t>= </m:t>
                    </m:r>
                    <m:r>
                      <m:rPr>
                        <m:nor/>
                      </m:rPr>
                      <a:rPr lang="ru-RU" sz="1200" b="0" i="0" u="none" strike="noStrike">
                        <a:solidFill>
                          <a:schemeClr val="tx1"/>
                        </a:solidFill>
                        <a:effectLst/>
                        <a:latin typeface="+mn-lt"/>
                        <a:ea typeface="+mn-ea"/>
                        <a:cs typeface="+mn-cs"/>
                      </a:rPr>
                      <m:t>42332,41</m:t>
                    </m:r>
                    <m:r>
                      <m:rPr>
                        <m:nor/>
                      </m:rPr>
                      <a:rPr lang="ru-RU" sz="1200"/>
                      <m:t> </m:t>
                    </m:r>
                    <m:sSup>
                      <m:sSupPr>
                        <m:ctrlPr>
                          <a:rPr lang="ru-RU" sz="1200" i="1">
                            <a:latin typeface="Cambria Math" panose="02040503050406030204" pitchFamily="18" charset="0"/>
                          </a:rPr>
                        </m:ctrlPr>
                      </m:sSupPr>
                      <m:e>
                        <m:r>
                          <a:rPr lang="en-US" sz="1200" b="0" i="1">
                            <a:latin typeface="Cambria Math" panose="02040503050406030204" pitchFamily="18" charset="0"/>
                          </a:rPr>
                          <m:t>𝑒</m:t>
                        </m:r>
                      </m:e>
                      <m:sup>
                        <m:r>
                          <m:rPr>
                            <m:nor/>
                          </m:rPr>
                          <a:rPr lang="ru-RU" sz="1200" b="0" i="0" u="none" strike="noStrike">
                            <a:solidFill>
                              <a:schemeClr val="tx1"/>
                            </a:solidFill>
                            <a:effectLst/>
                            <a:latin typeface="+mn-lt"/>
                            <a:ea typeface="+mn-ea"/>
                            <a:cs typeface="+mn-cs"/>
                          </a:rPr>
                          <m:t>0,0000058405011</m:t>
                        </m:r>
                        <m:r>
                          <m:rPr>
                            <m:nor/>
                          </m:rPr>
                          <a:rPr lang="ru-RU" sz="1200"/>
                          <m:t> </m:t>
                        </m:r>
                      </m:sup>
                    </m:sSup>
                    <m:r>
                      <a:rPr lang="en-US" sz="1200" b="0" i="1">
                        <a:latin typeface="Cambria Math" panose="02040503050406030204" pitchFamily="18" charset="0"/>
                      </a:rPr>
                      <m:t> </m:t>
                    </m:r>
                  </m:oMath>
                </m:oMathPara>
              </a14:m>
              <a:endParaRPr lang="ru-RU" sz="1200"/>
            </a:p>
          </xdr:txBody>
        </xdr:sp>
      </mc:Choice>
      <mc:Fallback xmlns="">
        <xdr:sp macro="" textlink="">
          <xdr:nvSpPr>
            <xdr:cNvPr id="7" name="TextBox 6">
              <a:extLst>
                <a:ext uri="{FF2B5EF4-FFF2-40B4-BE49-F238E27FC236}">
                  <a16:creationId xmlns:a16="http://schemas.microsoft.com/office/drawing/2014/main" id="{6B88A36B-0394-9E40-9BB0-784726C2877E}"/>
                </a:ext>
              </a:extLst>
            </xdr:cNvPr>
            <xdr:cNvSpPr txBox="1"/>
          </xdr:nvSpPr>
          <xdr:spPr>
            <a:xfrm>
              <a:off x="1805184" y="1822174"/>
              <a:ext cx="2272633" cy="221255"/>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r>
                <a:rPr lang="en-US" sz="1200" b="0" i="0">
                  <a:latin typeface="Cambria Math" panose="02040503050406030204" pitchFamily="18" charset="0"/>
                </a:rPr>
                <a:t>𝑌= </a:t>
              </a:r>
              <a:r>
                <a:rPr lang="ru-RU" sz="1200" b="0" i="0" u="none" strike="noStrike">
                  <a:solidFill>
                    <a:schemeClr val="tx1"/>
                  </a:solidFill>
                  <a:effectLst/>
                  <a:latin typeface="Cambria Math" panose="02040503050406030204" pitchFamily="18" charset="0"/>
                  <a:ea typeface="+mn-ea"/>
                  <a:cs typeface="+mn-cs"/>
                </a:rPr>
                <a:t>"42332,41</a:t>
              </a:r>
              <a:r>
                <a:rPr lang="ru-RU" sz="1200" i="0">
                  <a:latin typeface="Cambria Math" panose="02040503050406030204" pitchFamily="18" charset="0"/>
                </a:rPr>
                <a:t> " </a:t>
              </a:r>
              <a:r>
                <a:rPr lang="en-US" sz="1200" b="0" i="0">
                  <a:latin typeface="Cambria Math" panose="02040503050406030204" pitchFamily="18" charset="0"/>
                </a:rPr>
                <a:t>𝑒</a:t>
              </a:r>
              <a:r>
                <a:rPr lang="ru-RU" sz="1200" b="0" i="0">
                  <a:latin typeface="Cambria Math" panose="02040503050406030204" pitchFamily="18" charset="0"/>
                </a:rPr>
                <a:t>^</a:t>
              </a:r>
              <a:r>
                <a:rPr lang="ru-RU" sz="1200" b="0" i="0" u="none" strike="noStrike">
                  <a:solidFill>
                    <a:schemeClr val="tx1"/>
                  </a:solidFill>
                  <a:effectLst/>
                  <a:latin typeface="+mn-lt"/>
                  <a:ea typeface="+mn-ea"/>
                  <a:cs typeface="+mn-cs"/>
                </a:rPr>
                <a:t>"0,0000058405011</a:t>
              </a:r>
              <a:r>
                <a:rPr lang="ru-RU" sz="1200" i="0"/>
                <a:t> </a:t>
              </a:r>
              <a:r>
                <a:rPr lang="ru-RU" sz="1200" i="0">
                  <a:latin typeface="Cambria Math" panose="02040503050406030204" pitchFamily="18" charset="0"/>
                </a:rPr>
                <a:t>" </a:t>
              </a:r>
              <a:r>
                <a:rPr lang="en-US" sz="1200" b="0" i="0">
                  <a:latin typeface="Cambria Math" panose="02040503050406030204" pitchFamily="18" charset="0"/>
                </a:rPr>
                <a:t>  </a:t>
              </a:r>
              <a:endParaRPr lang="ru-RU" sz="1200"/>
            </a:p>
          </xdr:txBody>
        </xdr:sp>
      </mc:Fallback>
    </mc:AlternateContent>
    <xdr:clientData/>
  </xdr:twoCellAnchor>
  <xdr:oneCellAnchor>
    <xdr:from>
      <xdr:col>3</xdr:col>
      <xdr:colOff>326319</xdr:colOff>
      <xdr:row>13</xdr:row>
      <xdr:rowOff>2</xdr:rowOff>
    </xdr:from>
    <xdr:ext cx="1073371" cy="20056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9E520E2-99D3-DD4C-8947-9BE2734A541A}"/>
                </a:ext>
              </a:extLst>
            </xdr:cNvPr>
            <xdr:cNvSpPr txBox="1"/>
          </xdr:nvSpPr>
          <xdr:spPr>
            <a:xfrm>
              <a:off x="5468055" y="3342571"/>
              <a:ext cx="1073371" cy="200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𝑌</m:t>
                    </m:r>
                    <m:r>
                      <a:rPr lang="en-US" sz="1100" b="0" i="1">
                        <a:latin typeface="Cambria Math" panose="02040503050406030204" pitchFamily="18" charset="0"/>
                      </a:rPr>
                      <m:t>= </m:t>
                    </m:r>
                    <m:r>
                      <m:rPr>
                        <m:nor/>
                      </m:rPr>
                      <a:rPr lang="ru-RU" sz="1100" b="0" i="0" u="none" strike="noStrike">
                        <a:solidFill>
                          <a:schemeClr val="tx1"/>
                        </a:solidFill>
                        <a:effectLst/>
                        <a:latin typeface="+mn-lt"/>
                        <a:ea typeface="+mn-ea"/>
                        <a:cs typeface="+mn-cs"/>
                      </a:rPr>
                      <m:t>39,01</m:t>
                    </m:r>
                    <m:r>
                      <m:rPr>
                        <m:nor/>
                      </m:rPr>
                      <a:rPr lang="ru-RU"/>
                      <m:t> </m:t>
                    </m:r>
                    <m:sSup>
                      <m:sSupPr>
                        <m:ctrlPr>
                          <a:rPr lang="ru-RU" i="1">
                            <a:latin typeface="Cambria Math" panose="02040503050406030204" pitchFamily="18" charset="0"/>
                          </a:rPr>
                        </m:ctrlPr>
                      </m:sSupPr>
                      <m:e>
                        <m:r>
                          <a:rPr lang="en-US" b="0" i="1">
                            <a:latin typeface="Cambria Math" panose="02040503050406030204" pitchFamily="18" charset="0"/>
                          </a:rPr>
                          <m:t>𝑋</m:t>
                        </m:r>
                      </m:e>
                      <m:sup>
                        <m:r>
                          <m:rPr>
                            <m:nor/>
                          </m:rPr>
                          <a:rPr lang="ru-RU" sz="1100" b="0" i="0" u="none" strike="noStrike">
                            <a:solidFill>
                              <a:schemeClr val="tx1"/>
                            </a:solidFill>
                            <a:effectLst/>
                            <a:latin typeface="+mn-lt"/>
                            <a:ea typeface="+mn-ea"/>
                            <a:cs typeface="+mn-cs"/>
                          </a:rPr>
                          <m:t>0,66</m:t>
                        </m:r>
                        <m:r>
                          <m:rPr>
                            <m:nor/>
                          </m:rPr>
                          <a:rPr lang="ru-RU"/>
                          <m:t> </m:t>
                        </m:r>
                      </m:sup>
                    </m:sSup>
                  </m:oMath>
                </m:oMathPara>
              </a14:m>
              <a:endParaRPr lang="ru-RU" sz="1100"/>
            </a:p>
          </xdr:txBody>
        </xdr:sp>
      </mc:Choice>
      <mc:Fallback xmlns="">
        <xdr:sp macro="" textlink="">
          <xdr:nvSpPr>
            <xdr:cNvPr id="8" name="TextBox 7">
              <a:extLst>
                <a:ext uri="{FF2B5EF4-FFF2-40B4-BE49-F238E27FC236}">
                  <a16:creationId xmlns:a16="http://schemas.microsoft.com/office/drawing/2014/main" id="{39E520E2-99D3-DD4C-8947-9BE2734A541A}"/>
                </a:ext>
              </a:extLst>
            </xdr:cNvPr>
            <xdr:cNvSpPr txBox="1"/>
          </xdr:nvSpPr>
          <xdr:spPr>
            <a:xfrm>
              <a:off x="5468055" y="3342571"/>
              <a:ext cx="1073371" cy="200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𝑌= </a:t>
              </a:r>
              <a:r>
                <a:rPr lang="ru-RU" sz="1100" b="0" i="0" u="none" strike="noStrike">
                  <a:solidFill>
                    <a:schemeClr val="tx1"/>
                  </a:solidFill>
                  <a:effectLst/>
                  <a:latin typeface="Cambria Math" panose="02040503050406030204" pitchFamily="18" charset="0"/>
                  <a:ea typeface="+mn-ea"/>
                  <a:cs typeface="+mn-cs"/>
                </a:rPr>
                <a:t>"39,01</a:t>
              </a:r>
              <a:r>
                <a:rPr lang="ru-RU" i="0">
                  <a:latin typeface="Cambria Math" panose="02040503050406030204" pitchFamily="18" charset="0"/>
                </a:rPr>
                <a:t> " </a:t>
              </a:r>
              <a:r>
                <a:rPr lang="en-US" b="0" i="0">
                  <a:latin typeface="Cambria Math" panose="02040503050406030204" pitchFamily="18" charset="0"/>
                </a:rPr>
                <a:t>𝑋</a:t>
              </a:r>
              <a:r>
                <a:rPr lang="ru-RU" b="0" i="0">
                  <a:latin typeface="Cambria Math" panose="02040503050406030204" pitchFamily="18" charset="0"/>
                </a:rPr>
                <a:t>^</a:t>
              </a:r>
              <a:r>
                <a:rPr lang="ru-RU" sz="1100" b="0" i="0" u="none" strike="noStrike">
                  <a:solidFill>
                    <a:schemeClr val="tx1"/>
                  </a:solidFill>
                  <a:effectLst/>
                  <a:latin typeface="+mn-lt"/>
                  <a:ea typeface="+mn-ea"/>
                  <a:cs typeface="+mn-cs"/>
                </a:rPr>
                <a:t>"0,66</a:t>
              </a:r>
              <a:r>
                <a:rPr lang="ru-RU" i="0"/>
                <a:t> </a:t>
              </a:r>
              <a:r>
                <a:rPr lang="ru-RU" i="0">
                  <a:latin typeface="Cambria Math" panose="02040503050406030204" pitchFamily="18" charset="0"/>
                </a:rPr>
                <a:t>" </a:t>
              </a:r>
              <a:endParaRPr lang="ru-RU" sz="1100"/>
            </a:p>
          </xdr:txBody>
        </xdr:sp>
      </mc:Fallback>
    </mc:AlternateContent>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F0B0-FB76-9C49-BBC7-F0FEA29113BC}">
  <dimension ref="A1:T110"/>
  <sheetViews>
    <sheetView topLeftCell="E24" zoomScale="117" zoomScaleNormal="134" workbookViewId="0">
      <selection activeCell="C14" sqref="C14"/>
    </sheetView>
  </sheetViews>
  <sheetFormatPr baseColWidth="10" defaultRowHeight="16"/>
  <cols>
    <col min="1" max="1" width="29.1640625" customWidth="1"/>
    <col min="2" max="2" width="20.6640625" customWidth="1"/>
    <col min="3" max="3" width="17.1640625" customWidth="1"/>
    <col min="5" max="5" width="24.83203125" bestFit="1" customWidth="1"/>
    <col min="6" max="6" width="16.33203125" bestFit="1" customWidth="1"/>
    <col min="7" max="7" width="25" bestFit="1" customWidth="1"/>
    <col min="8" max="8" width="30" customWidth="1"/>
    <col min="9" max="9" width="21.6640625" bestFit="1" customWidth="1"/>
    <col min="10" max="10" width="37.33203125" customWidth="1"/>
    <col min="11" max="11" width="15.6640625" customWidth="1"/>
    <col min="12" max="12" width="15.5" style="1" customWidth="1"/>
    <col min="13" max="13" width="13.6640625" customWidth="1"/>
    <col min="14" max="14" width="16" customWidth="1"/>
    <col min="15" max="15" width="14.1640625" bestFit="1" customWidth="1"/>
    <col min="19" max="19" width="11.6640625" customWidth="1"/>
  </cols>
  <sheetData>
    <row r="1" spans="1:17" s="2" customFormat="1" ht="74" customHeight="1" thickBot="1">
      <c r="A1" s="22" t="s">
        <v>35</v>
      </c>
      <c r="B1" s="23" t="s">
        <v>121</v>
      </c>
      <c r="C1" s="24" t="s">
        <v>122</v>
      </c>
      <c r="D1" s="47"/>
      <c r="E1" s="178" t="s">
        <v>133</v>
      </c>
      <c r="F1" s="179"/>
      <c r="G1" s="179"/>
      <c r="H1" s="180"/>
      <c r="K1" s="13"/>
      <c r="L1" s="13"/>
      <c r="M1" s="13"/>
      <c r="N1" s="13"/>
      <c r="O1" s="13"/>
    </row>
    <row r="2" spans="1:17">
      <c r="A2" s="26" t="s">
        <v>110</v>
      </c>
      <c r="B2" s="27">
        <v>77149</v>
      </c>
      <c r="C2" s="28">
        <v>55280</v>
      </c>
      <c r="D2" s="21"/>
      <c r="E2" t="s">
        <v>0</v>
      </c>
      <c r="L2"/>
      <c r="O2" s="14"/>
    </row>
    <row r="3" spans="1:17" ht="17" thickBot="1">
      <c r="A3" s="18" t="s">
        <v>54</v>
      </c>
      <c r="B3" s="25">
        <v>90442</v>
      </c>
      <c r="C3" s="29">
        <v>87040</v>
      </c>
      <c r="D3" s="21"/>
      <c r="L3"/>
      <c r="O3" s="14"/>
    </row>
    <row r="4" spans="1:17">
      <c r="A4" s="18" t="s">
        <v>55</v>
      </c>
      <c r="B4" s="25">
        <v>107047</v>
      </c>
      <c r="C4" s="29">
        <v>86404</v>
      </c>
      <c r="D4" s="21"/>
      <c r="E4" s="6" t="s">
        <v>1</v>
      </c>
      <c r="F4" s="6"/>
      <c r="L4"/>
      <c r="O4" s="14"/>
    </row>
    <row r="5" spans="1:17">
      <c r="A5" s="18" t="s">
        <v>92</v>
      </c>
      <c r="B5" s="25">
        <v>59369</v>
      </c>
      <c r="C5" s="29">
        <v>62551</v>
      </c>
      <c r="D5" s="21"/>
      <c r="E5" s="3" t="s">
        <v>2</v>
      </c>
      <c r="F5" s="3">
        <v>0.64919215064545643</v>
      </c>
      <c r="L5"/>
      <c r="O5" s="14"/>
    </row>
    <row r="6" spans="1:17">
      <c r="A6" s="18" t="s">
        <v>81</v>
      </c>
      <c r="B6" s="25">
        <v>83556</v>
      </c>
      <c r="C6" s="29">
        <v>65822</v>
      </c>
      <c r="D6" s="21"/>
      <c r="E6" s="3" t="s">
        <v>3</v>
      </c>
      <c r="F6" s="3">
        <v>0.42145044845967305</v>
      </c>
      <c r="G6" s="20">
        <f>F6</f>
        <v>0.42145044845967305</v>
      </c>
      <c r="H6" s="207" t="s">
        <v>123</v>
      </c>
      <c r="I6" s="207"/>
      <c r="J6" s="207"/>
      <c r="L6"/>
      <c r="O6" s="14"/>
    </row>
    <row r="7" spans="1:17">
      <c r="A7" s="18" t="s">
        <v>100</v>
      </c>
      <c r="B7" s="25">
        <v>70346</v>
      </c>
      <c r="C7" s="29">
        <v>58487</v>
      </c>
      <c r="D7" s="21"/>
      <c r="E7" s="3" t="s">
        <v>4</v>
      </c>
      <c r="F7" s="3">
        <v>0.41447997193509079</v>
      </c>
      <c r="H7" s="207"/>
      <c r="I7" s="207"/>
      <c r="J7" s="207"/>
      <c r="L7"/>
      <c r="O7" s="14"/>
    </row>
    <row r="8" spans="1:17">
      <c r="A8" s="18" t="s">
        <v>84</v>
      </c>
      <c r="B8" s="25">
        <v>78606</v>
      </c>
      <c r="C8" s="29">
        <v>64721</v>
      </c>
      <c r="D8" s="21"/>
      <c r="E8" s="3" t="s">
        <v>5</v>
      </c>
      <c r="F8" s="3">
        <v>22384.0574216563</v>
      </c>
      <c r="H8" s="207"/>
      <c r="I8" s="207"/>
      <c r="J8" s="207"/>
      <c r="L8"/>
      <c r="O8" s="14"/>
    </row>
    <row r="9" spans="1:17" ht="17" thickBot="1">
      <c r="A9" s="18" t="s">
        <v>94</v>
      </c>
      <c r="B9" s="25">
        <v>87372</v>
      </c>
      <c r="C9" s="29">
        <v>61254</v>
      </c>
      <c r="D9" s="21"/>
      <c r="E9" s="4" t="s">
        <v>6</v>
      </c>
      <c r="F9" s="4">
        <v>85</v>
      </c>
      <c r="L9"/>
      <c r="O9" s="14"/>
    </row>
    <row r="10" spans="1:17" ht="31" customHeight="1">
      <c r="A10" s="18" t="s">
        <v>70</v>
      </c>
      <c r="B10" s="25">
        <v>85908</v>
      </c>
      <c r="C10" s="29">
        <v>71493</v>
      </c>
      <c r="D10" s="21"/>
      <c r="H10" s="190" t="s">
        <v>124</v>
      </c>
      <c r="I10" s="191"/>
      <c r="J10" s="191"/>
      <c r="K10" s="191"/>
      <c r="L10" s="192"/>
      <c r="O10" s="14"/>
    </row>
    <row r="11" spans="1:17" ht="17" thickBot="1">
      <c r="A11" s="18" t="s">
        <v>89</v>
      </c>
      <c r="B11" s="25">
        <v>76797</v>
      </c>
      <c r="C11" s="29">
        <v>63353</v>
      </c>
      <c r="D11" s="21"/>
      <c r="E11" t="s">
        <v>7</v>
      </c>
      <c r="H11" s="11" t="s">
        <v>131</v>
      </c>
      <c r="I11" s="9">
        <f>_xlfn.F.INV.RT(0.05,F13,F14)</f>
        <v>3.9559610071544347</v>
      </c>
      <c r="J11" s="8" t="s">
        <v>29</v>
      </c>
      <c r="K11" s="32">
        <f>I13</f>
        <v>60.462214738601531</v>
      </c>
      <c r="L11" s="10" t="s">
        <v>132</v>
      </c>
      <c r="O11" s="14"/>
    </row>
    <row r="12" spans="1:17">
      <c r="A12" s="18" t="s">
        <v>59</v>
      </c>
      <c r="B12" s="25">
        <v>87015</v>
      </c>
      <c r="C12" s="29">
        <v>78795</v>
      </c>
      <c r="D12" s="21"/>
      <c r="E12" s="5"/>
      <c r="F12" s="5" t="s">
        <v>12</v>
      </c>
      <c r="G12" s="5" t="s">
        <v>13</v>
      </c>
      <c r="H12" s="7" t="s">
        <v>14</v>
      </c>
      <c r="I12" s="7" t="s">
        <v>15</v>
      </c>
      <c r="J12" s="7" t="s">
        <v>16</v>
      </c>
      <c r="L12"/>
      <c r="O12" s="14"/>
    </row>
    <row r="13" spans="1:17">
      <c r="A13" s="18" t="s">
        <v>56</v>
      </c>
      <c r="B13" s="25">
        <v>83105</v>
      </c>
      <c r="C13" s="29">
        <v>85190</v>
      </c>
      <c r="D13" s="21"/>
      <c r="E13" s="3" t="s">
        <v>8</v>
      </c>
      <c r="F13" s="3">
        <v>1</v>
      </c>
      <c r="G13" s="3">
        <v>30294352457.598534</v>
      </c>
      <c r="H13" s="3">
        <v>30294352457.598534</v>
      </c>
      <c r="I13" s="3">
        <v>60.462214738601531</v>
      </c>
      <c r="J13" s="3">
        <v>1.815915217991876E-11</v>
      </c>
      <c r="L13"/>
      <c r="O13" s="14"/>
    </row>
    <row r="14" spans="1:17">
      <c r="A14" s="18" t="s">
        <v>113</v>
      </c>
      <c r="B14" s="25">
        <v>75584</v>
      </c>
      <c r="C14" s="29">
        <v>49722</v>
      </c>
      <c r="D14" s="21"/>
      <c r="E14" s="3" t="s">
        <v>9</v>
      </c>
      <c r="F14" s="3">
        <v>83</v>
      </c>
      <c r="G14" s="3">
        <v>41586820212.44854</v>
      </c>
      <c r="H14" s="3">
        <v>501046026.65600652</v>
      </c>
      <c r="I14" s="3"/>
      <c r="J14" s="3"/>
      <c r="L14"/>
      <c r="O14" s="14"/>
    </row>
    <row r="15" spans="1:17" ht="17" thickBot="1">
      <c r="A15" s="18" t="s">
        <v>53</v>
      </c>
      <c r="B15" s="25">
        <v>79302</v>
      </c>
      <c r="C15" s="29">
        <v>87154</v>
      </c>
      <c r="D15" s="21"/>
      <c r="E15" s="4" t="s">
        <v>10</v>
      </c>
      <c r="F15" s="4">
        <v>84</v>
      </c>
      <c r="G15" s="4">
        <v>71881172670.047073</v>
      </c>
      <c r="H15" s="4"/>
      <c r="I15" s="4"/>
      <c r="J15" s="4"/>
      <c r="L15"/>
      <c r="O15" s="14"/>
    </row>
    <row r="16" spans="1:17" ht="17" thickBot="1">
      <c r="A16" s="18" t="s">
        <v>117</v>
      </c>
      <c r="B16" s="25">
        <v>72618</v>
      </c>
      <c r="C16" s="29">
        <v>46507</v>
      </c>
      <c r="D16" s="21"/>
      <c r="L16"/>
      <c r="O16" s="15"/>
      <c r="P16" s="16"/>
      <c r="Q16" s="12"/>
    </row>
    <row r="17" spans="1:20" ht="18" customHeight="1">
      <c r="A17" s="18" t="s">
        <v>79</v>
      </c>
      <c r="B17" s="25">
        <v>114401</v>
      </c>
      <c r="C17" s="29">
        <v>66608</v>
      </c>
      <c r="D17" s="21"/>
      <c r="E17" s="5"/>
      <c r="F17" s="5" t="s">
        <v>17</v>
      </c>
      <c r="G17" s="5" t="s">
        <v>5</v>
      </c>
      <c r="H17" s="5" t="s">
        <v>18</v>
      </c>
      <c r="I17" s="5" t="s">
        <v>19</v>
      </c>
      <c r="J17" s="5" t="s">
        <v>20</v>
      </c>
      <c r="K17" s="5" t="s">
        <v>21</v>
      </c>
      <c r="L17" s="5" t="s">
        <v>22</v>
      </c>
      <c r="M17" s="5" t="s">
        <v>23</v>
      </c>
      <c r="N17" s="196" t="s">
        <v>126</v>
      </c>
      <c r="O17" s="197"/>
      <c r="P17" s="197"/>
      <c r="Q17" s="198"/>
      <c r="R17" s="38"/>
      <c r="S17" s="17"/>
      <c r="T17" s="17"/>
    </row>
    <row r="18" spans="1:20">
      <c r="A18" s="18" t="s">
        <v>66</v>
      </c>
      <c r="B18" s="25">
        <v>80241</v>
      </c>
      <c r="C18" s="29">
        <v>74197</v>
      </c>
      <c r="D18" s="21"/>
      <c r="E18" s="3" t="s">
        <v>11</v>
      </c>
      <c r="F18" s="3">
        <v>28878.294310219375</v>
      </c>
      <c r="G18" s="3">
        <v>6615.6714338826687</v>
      </c>
      <c r="H18" s="3">
        <v>4.3651343025164424</v>
      </c>
      <c r="I18" s="3">
        <v>3.6370338961341911E-5</v>
      </c>
      <c r="J18" s="3">
        <v>15719.989909372993</v>
      </c>
      <c r="K18" s="3">
        <v>42036.598711065759</v>
      </c>
      <c r="L18" s="3">
        <v>15719.989909372993</v>
      </c>
      <c r="M18" s="3">
        <v>42036.598711065759</v>
      </c>
      <c r="N18" s="199"/>
      <c r="O18" s="200"/>
      <c r="P18" s="200"/>
      <c r="Q18" s="201"/>
      <c r="R18" s="38"/>
      <c r="S18" s="17"/>
      <c r="T18" s="17"/>
    </row>
    <row r="19" spans="1:20" ht="17" thickBot="1">
      <c r="A19" s="18" t="s">
        <v>41</v>
      </c>
      <c r="B19" s="25">
        <v>125583</v>
      </c>
      <c r="C19" s="29">
        <v>132710</v>
      </c>
      <c r="D19" s="21"/>
      <c r="E19" s="4" t="s">
        <v>24</v>
      </c>
      <c r="F19" s="4">
        <v>0.51897094503430774</v>
      </c>
      <c r="G19" s="4">
        <v>6.6742276914526263E-2</v>
      </c>
      <c r="H19" s="4">
        <v>7.7757452850901352</v>
      </c>
      <c r="I19" s="4">
        <v>1.8159152179919222E-11</v>
      </c>
      <c r="J19" s="4">
        <v>0.38622324061400171</v>
      </c>
      <c r="K19" s="4">
        <v>0.65171864945461377</v>
      </c>
      <c r="L19" s="4">
        <v>0.38622324061400171</v>
      </c>
      <c r="M19" s="4">
        <v>0.65171864945461377</v>
      </c>
      <c r="N19" s="199"/>
      <c r="O19" s="200"/>
      <c r="P19" s="200"/>
      <c r="Q19" s="201"/>
      <c r="R19" s="38"/>
      <c r="S19" s="17"/>
      <c r="T19" s="17"/>
    </row>
    <row r="20" spans="1:20">
      <c r="A20" s="18" t="s">
        <v>115</v>
      </c>
      <c r="B20" s="25">
        <v>67347</v>
      </c>
      <c r="C20" s="29">
        <v>48488</v>
      </c>
      <c r="D20" s="21"/>
      <c r="H20" s="193" t="s">
        <v>125</v>
      </c>
      <c r="I20" s="194"/>
      <c r="J20" s="194"/>
      <c r="K20" s="194"/>
      <c r="L20" s="195"/>
      <c r="N20" s="199"/>
      <c r="O20" s="200"/>
      <c r="P20" s="200"/>
      <c r="Q20" s="201"/>
      <c r="R20" s="38"/>
      <c r="S20" s="17"/>
      <c r="T20" s="17"/>
    </row>
    <row r="21" spans="1:20" ht="17" thickBot="1">
      <c r="A21" s="18" t="s">
        <v>61</v>
      </c>
      <c r="B21" s="25">
        <v>83731</v>
      </c>
      <c r="C21" s="29">
        <v>78202</v>
      </c>
      <c r="D21" s="21"/>
      <c r="H21" s="33" t="s">
        <v>30</v>
      </c>
      <c r="I21" s="34">
        <f>H19</f>
        <v>7.7757452850901352</v>
      </c>
      <c r="J21" s="37" t="s">
        <v>32</v>
      </c>
      <c r="K21" s="35">
        <f>_xlfn.T.INV.2T(0.05,F14)</f>
        <v>1.9889597801751635</v>
      </c>
      <c r="L21" s="36" t="s">
        <v>31</v>
      </c>
      <c r="N21" s="199"/>
      <c r="O21" s="200"/>
      <c r="P21" s="200"/>
      <c r="Q21" s="201"/>
      <c r="R21" s="38"/>
      <c r="S21" s="17"/>
      <c r="T21" s="17"/>
    </row>
    <row r="22" spans="1:20">
      <c r="A22" s="18" t="s">
        <v>101</v>
      </c>
      <c r="B22" s="25">
        <v>83168</v>
      </c>
      <c r="C22" s="29">
        <v>58255</v>
      </c>
      <c r="D22" s="21"/>
      <c r="L22"/>
      <c r="N22" s="199"/>
      <c r="O22" s="200"/>
      <c r="P22" s="200"/>
      <c r="Q22" s="201"/>
      <c r="R22" s="38"/>
      <c r="S22" s="17"/>
      <c r="T22" s="17"/>
    </row>
    <row r="23" spans="1:20" ht="19" customHeight="1" thickBot="1">
      <c r="A23" s="18" t="s">
        <v>106</v>
      </c>
      <c r="B23" s="25">
        <v>72253</v>
      </c>
      <c r="C23" s="29">
        <v>56898</v>
      </c>
      <c r="D23" s="21"/>
      <c r="E23" t="s">
        <v>25</v>
      </c>
      <c r="L23"/>
      <c r="N23" s="202"/>
      <c r="O23" s="203"/>
      <c r="P23" s="203"/>
      <c r="Q23" s="204"/>
      <c r="R23" s="38"/>
      <c r="S23" s="17"/>
      <c r="T23" s="17"/>
    </row>
    <row r="24" spans="1:20" ht="17" thickBot="1">
      <c r="A24" s="18" t="s">
        <v>72</v>
      </c>
      <c r="B24" s="25">
        <v>184607</v>
      </c>
      <c r="C24" s="29">
        <v>70410</v>
      </c>
      <c r="D24" s="21"/>
      <c r="H24" s="39"/>
      <c r="I24" s="39"/>
      <c r="L24"/>
      <c r="O24" s="44"/>
    </row>
    <row r="25" spans="1:20" ht="62" customHeight="1" thickBot="1">
      <c r="A25" s="18" t="s">
        <v>49</v>
      </c>
      <c r="B25" s="25">
        <v>108297</v>
      </c>
      <c r="C25" s="29">
        <v>95026</v>
      </c>
      <c r="D25" s="21"/>
      <c r="E25" s="43" t="s">
        <v>26</v>
      </c>
      <c r="F25" s="43" t="s">
        <v>27</v>
      </c>
      <c r="G25" s="43" t="s">
        <v>28</v>
      </c>
      <c r="H25" s="40" t="s">
        <v>130</v>
      </c>
      <c r="I25" s="41" t="s">
        <v>33</v>
      </c>
      <c r="J25" s="42" t="s">
        <v>34</v>
      </c>
      <c r="L25" s="205" t="s">
        <v>127</v>
      </c>
      <c r="M25" s="206"/>
      <c r="N25" s="206"/>
      <c r="O25" s="181" t="s">
        <v>128</v>
      </c>
      <c r="P25" s="182"/>
      <c r="Q25" s="182"/>
      <c r="R25" s="182"/>
      <c r="S25" s="183"/>
    </row>
    <row r="26" spans="1:20" ht="17" thickBot="1">
      <c r="A26" s="18" t="s">
        <v>90</v>
      </c>
      <c r="B26" s="25">
        <v>56306</v>
      </c>
      <c r="C26" s="29">
        <v>63209</v>
      </c>
      <c r="D26" s="21"/>
      <c r="E26" s="3">
        <v>1</v>
      </c>
      <c r="F26" s="3">
        <v>68916.383748671185</v>
      </c>
      <c r="G26" s="3">
        <v>-13636.383748671185</v>
      </c>
      <c r="H26">
        <f>G26+F26</f>
        <v>55280</v>
      </c>
      <c r="I26">
        <f>ABS(G26/H26)</f>
        <v>0.24667843250128774</v>
      </c>
      <c r="J26" s="46">
        <f>AVERAGE(I26:I110)*100</f>
        <v>17.998152213516121</v>
      </c>
      <c r="K26" s="48" t="s">
        <v>134</v>
      </c>
      <c r="L26"/>
      <c r="O26" s="184"/>
      <c r="P26" s="185"/>
      <c r="Q26" s="185"/>
      <c r="R26" s="185"/>
      <c r="S26" s="186"/>
    </row>
    <row r="27" spans="1:20" ht="17" thickBot="1">
      <c r="A27" s="18" t="s">
        <v>83</v>
      </c>
      <c r="B27" s="25">
        <v>70911</v>
      </c>
      <c r="C27" s="29">
        <v>65127</v>
      </c>
      <c r="D27" s="21"/>
      <c r="E27" s="3">
        <v>2</v>
      </c>
      <c r="F27" s="3">
        <v>75815.064521012246</v>
      </c>
      <c r="G27" s="3">
        <v>11224.935478987754</v>
      </c>
      <c r="H27">
        <f t="shared" ref="H27:H90" si="0">G27+F27</f>
        <v>87040</v>
      </c>
      <c r="I27">
        <f>ABS(G27/H27)</f>
        <v>0.12896295357292917</v>
      </c>
      <c r="L27"/>
      <c r="O27" s="187"/>
      <c r="P27" s="188"/>
      <c r="Q27" s="188"/>
      <c r="R27" s="188"/>
      <c r="S27" s="189"/>
    </row>
    <row r="28" spans="1:20">
      <c r="A28" s="18" t="s">
        <v>57</v>
      </c>
      <c r="B28" s="25">
        <v>79469</v>
      </c>
      <c r="C28" s="29">
        <v>82026</v>
      </c>
      <c r="D28" s="21"/>
      <c r="E28" s="3">
        <v>3</v>
      </c>
      <c r="F28" s="3">
        <v>84432.577063306919</v>
      </c>
      <c r="G28" s="3">
        <v>1971.4229366930813</v>
      </c>
      <c r="H28">
        <f t="shared" si="0"/>
        <v>86404</v>
      </c>
      <c r="I28">
        <f t="shared" ref="I28:I91" si="1">ABS(G28/H28)</f>
        <v>2.2816338788633411E-2</v>
      </c>
      <c r="L28"/>
      <c r="O28" s="181" t="s">
        <v>129</v>
      </c>
      <c r="P28" s="182"/>
      <c r="Q28" s="182"/>
      <c r="R28" s="182"/>
      <c r="S28" s="183"/>
    </row>
    <row r="29" spans="1:20" ht="18" customHeight="1">
      <c r="A29" s="18" t="s">
        <v>75</v>
      </c>
      <c r="B29" s="25">
        <v>92815</v>
      </c>
      <c r="C29" s="29">
        <v>67750</v>
      </c>
      <c r="D29" s="21"/>
      <c r="E29" s="3">
        <v>4</v>
      </c>
      <c r="F29" s="3">
        <v>59689.080345961193</v>
      </c>
      <c r="G29" s="3">
        <v>2861.9196540388075</v>
      </c>
      <c r="H29">
        <f t="shared" si="0"/>
        <v>62551</v>
      </c>
      <c r="I29">
        <f t="shared" si="1"/>
        <v>4.5753379706780187E-2</v>
      </c>
      <c r="L29"/>
      <c r="O29" s="184"/>
      <c r="P29" s="185"/>
      <c r="Q29" s="185"/>
      <c r="R29" s="185"/>
      <c r="S29" s="186"/>
    </row>
    <row r="30" spans="1:20">
      <c r="A30" s="18" t="s">
        <v>39</v>
      </c>
      <c r="B30" s="25">
        <v>130530</v>
      </c>
      <c r="C30" s="29">
        <v>156881</v>
      </c>
      <c r="D30" s="21"/>
      <c r="E30" s="3">
        <v>5</v>
      </c>
      <c r="F30" s="3">
        <v>72241.430593505997</v>
      </c>
      <c r="G30" s="3">
        <v>-6419.4305935059965</v>
      </c>
      <c r="H30">
        <f t="shared" si="0"/>
        <v>65822</v>
      </c>
      <c r="I30">
        <f t="shared" si="1"/>
        <v>9.7527127609401063E-2</v>
      </c>
      <c r="L30"/>
      <c r="O30" s="184"/>
      <c r="P30" s="185"/>
      <c r="Q30" s="185"/>
      <c r="R30" s="185"/>
      <c r="S30" s="186"/>
    </row>
    <row r="31" spans="1:20">
      <c r="A31" s="18" t="s">
        <v>48</v>
      </c>
      <c r="B31" s="25">
        <v>110587</v>
      </c>
      <c r="C31" s="29">
        <v>99205</v>
      </c>
      <c r="D31" s="21"/>
      <c r="E31" s="3">
        <v>6</v>
      </c>
      <c r="F31" s="3">
        <v>65385.824409602785</v>
      </c>
      <c r="G31" s="3">
        <v>-6898.8244096027847</v>
      </c>
      <c r="H31">
        <f t="shared" si="0"/>
        <v>58487</v>
      </c>
      <c r="I31">
        <f t="shared" si="1"/>
        <v>0.1179548345718328</v>
      </c>
      <c r="L31"/>
      <c r="O31" s="184"/>
      <c r="P31" s="185"/>
      <c r="Q31" s="185"/>
      <c r="R31" s="185"/>
      <c r="S31" s="186"/>
    </row>
    <row r="32" spans="1:20">
      <c r="A32" s="18" t="s">
        <v>46</v>
      </c>
      <c r="B32" s="25">
        <v>140661</v>
      </c>
      <c r="C32" s="29">
        <v>114277</v>
      </c>
      <c r="D32" s="21"/>
      <c r="E32" s="3">
        <v>7</v>
      </c>
      <c r="F32" s="3">
        <v>69672.524415586173</v>
      </c>
      <c r="G32" s="3">
        <v>-4951.5244155861728</v>
      </c>
      <c r="H32">
        <f t="shared" si="0"/>
        <v>64721</v>
      </c>
      <c r="I32">
        <f t="shared" si="1"/>
        <v>7.6505684640011326E-2</v>
      </c>
      <c r="L32"/>
      <c r="O32" s="184"/>
      <c r="P32" s="185"/>
      <c r="Q32" s="185"/>
      <c r="R32" s="185"/>
      <c r="S32" s="186"/>
    </row>
    <row r="33" spans="1:19" ht="17" thickBot="1">
      <c r="A33" s="18" t="s">
        <v>40</v>
      </c>
      <c r="B33" s="25">
        <v>95039</v>
      </c>
      <c r="C33" s="29">
        <v>135206</v>
      </c>
      <c r="D33" s="21"/>
      <c r="E33" s="3">
        <v>8</v>
      </c>
      <c r="F33" s="3">
        <v>74221.823719756911</v>
      </c>
      <c r="G33" s="3">
        <v>-12967.823719756911</v>
      </c>
      <c r="H33">
        <f t="shared" si="0"/>
        <v>61254</v>
      </c>
      <c r="I33">
        <f t="shared" si="1"/>
        <v>0.21170574525348404</v>
      </c>
      <c r="L33"/>
      <c r="O33" s="187"/>
      <c r="P33" s="188"/>
      <c r="Q33" s="188"/>
      <c r="R33" s="188"/>
      <c r="S33" s="189"/>
    </row>
    <row r="34" spans="1:19">
      <c r="A34" s="18" t="s">
        <v>74</v>
      </c>
      <c r="B34" s="25">
        <v>105440</v>
      </c>
      <c r="C34" s="29">
        <v>69546</v>
      </c>
      <c r="D34" s="21"/>
      <c r="E34" s="3">
        <v>9</v>
      </c>
      <c r="F34" s="3">
        <v>73462.050256226677</v>
      </c>
      <c r="G34" s="3">
        <v>-1969.0502562266774</v>
      </c>
      <c r="H34">
        <f t="shared" si="0"/>
        <v>71493</v>
      </c>
      <c r="I34">
        <f t="shared" si="1"/>
        <v>2.7541860828705991E-2</v>
      </c>
      <c r="L34"/>
      <c r="O34" s="45"/>
    </row>
    <row r="35" spans="1:19">
      <c r="A35" s="18" t="s">
        <v>91</v>
      </c>
      <c r="B35" s="25">
        <v>80066</v>
      </c>
      <c r="C35" s="29">
        <v>62975</v>
      </c>
      <c r="D35" s="21"/>
      <c r="E35" s="3">
        <v>10</v>
      </c>
      <c r="F35" s="3">
        <v>68733.705976019104</v>
      </c>
      <c r="G35" s="3">
        <v>-5380.7059760191041</v>
      </c>
      <c r="H35">
        <f t="shared" si="0"/>
        <v>63353</v>
      </c>
      <c r="I35">
        <f t="shared" si="1"/>
        <v>8.493214174575954E-2</v>
      </c>
      <c r="L35"/>
      <c r="O35" s="14"/>
    </row>
    <row r="36" spans="1:19">
      <c r="A36" s="18" t="s">
        <v>62</v>
      </c>
      <c r="B36" s="25">
        <v>113585</v>
      </c>
      <c r="C36" s="29">
        <v>76770</v>
      </c>
      <c r="D36" s="21"/>
      <c r="E36" s="3">
        <v>11</v>
      </c>
      <c r="F36" s="3">
        <v>74036.551092379668</v>
      </c>
      <c r="G36" s="3">
        <v>4758.4489076203317</v>
      </c>
      <c r="H36">
        <f t="shared" si="0"/>
        <v>78795</v>
      </c>
      <c r="I36">
        <f t="shared" si="1"/>
        <v>6.0390239325088288E-2</v>
      </c>
      <c r="L36"/>
      <c r="O36" s="14"/>
    </row>
    <row r="37" spans="1:19">
      <c r="A37" s="18" t="s">
        <v>82</v>
      </c>
      <c r="B37" s="25">
        <v>92297</v>
      </c>
      <c r="C37" s="29">
        <v>65404</v>
      </c>
      <c r="D37" s="21"/>
      <c r="E37" s="3">
        <v>12</v>
      </c>
      <c r="F37" s="3">
        <v>72007.374697295512</v>
      </c>
      <c r="G37" s="3">
        <v>13182.625302704488</v>
      </c>
      <c r="H37">
        <f t="shared" si="0"/>
        <v>85190</v>
      </c>
      <c r="I37">
        <f t="shared" si="1"/>
        <v>0.15474381151196723</v>
      </c>
      <c r="L37"/>
      <c r="O37" s="14"/>
    </row>
    <row r="38" spans="1:19">
      <c r="A38" s="18" t="s">
        <v>87</v>
      </c>
      <c r="B38" s="25">
        <v>74419</v>
      </c>
      <c r="C38" s="29">
        <v>64059</v>
      </c>
      <c r="D38" s="21"/>
      <c r="E38" s="3">
        <v>13</v>
      </c>
      <c r="F38" s="3">
        <v>68104.194219692494</v>
      </c>
      <c r="G38" s="3">
        <v>-18382.194219692494</v>
      </c>
      <c r="H38">
        <f t="shared" si="0"/>
        <v>49722</v>
      </c>
      <c r="I38">
        <f t="shared" si="1"/>
        <v>0.36969941313085747</v>
      </c>
      <c r="L38"/>
      <c r="O38" s="14"/>
    </row>
    <row r="39" spans="1:19">
      <c r="A39" s="18" t="s">
        <v>108</v>
      </c>
      <c r="B39" s="25">
        <v>77534</v>
      </c>
      <c r="C39" s="29">
        <v>56134</v>
      </c>
      <c r="D39" s="21"/>
      <c r="E39" s="3">
        <v>14</v>
      </c>
      <c r="F39" s="3">
        <v>70033.728193330055</v>
      </c>
      <c r="G39" s="3">
        <v>17120.271806669945</v>
      </c>
      <c r="H39">
        <f t="shared" si="0"/>
        <v>87154</v>
      </c>
      <c r="I39">
        <f t="shared" si="1"/>
        <v>0.19643701731039248</v>
      </c>
      <c r="L39"/>
      <c r="O39" s="14"/>
    </row>
    <row r="40" spans="1:19">
      <c r="A40" s="18" t="s">
        <v>102</v>
      </c>
      <c r="B40" s="25">
        <v>76315</v>
      </c>
      <c r="C40" s="29">
        <v>57468</v>
      </c>
      <c r="D40" s="21"/>
      <c r="E40" s="3">
        <v>15</v>
      </c>
      <c r="F40" s="3">
        <v>66564.926396720737</v>
      </c>
      <c r="G40" s="3">
        <v>-20057.926396720737</v>
      </c>
      <c r="H40">
        <f t="shared" si="0"/>
        <v>46507</v>
      </c>
      <c r="I40">
        <f t="shared" si="1"/>
        <v>0.43128833071840234</v>
      </c>
      <c r="L40"/>
      <c r="O40" s="14"/>
    </row>
    <row r="41" spans="1:19">
      <c r="A41" s="18" t="s">
        <v>64</v>
      </c>
      <c r="B41" s="25">
        <v>107695</v>
      </c>
      <c r="C41" s="29">
        <v>74845</v>
      </c>
      <c r="D41" s="21"/>
      <c r="E41" s="3">
        <v>16</v>
      </c>
      <c r="F41" s="3">
        <v>88249.089393089205</v>
      </c>
      <c r="G41" s="3">
        <v>-21641.089393089205</v>
      </c>
      <c r="H41">
        <f t="shared" si="0"/>
        <v>66608</v>
      </c>
      <c r="I41">
        <f t="shared" si="1"/>
        <v>0.32490225488063301</v>
      </c>
      <c r="L41"/>
      <c r="O41" s="14"/>
    </row>
    <row r="42" spans="1:19">
      <c r="A42" s="18" t="s">
        <v>51</v>
      </c>
      <c r="B42" s="25">
        <v>134478</v>
      </c>
      <c r="C42" s="29">
        <v>88920</v>
      </c>
      <c r="D42" s="21"/>
      <c r="E42" s="3">
        <v>17</v>
      </c>
      <c r="F42" s="3">
        <v>70521.041910717264</v>
      </c>
      <c r="G42" s="3">
        <v>3675.9580892827362</v>
      </c>
      <c r="H42">
        <f t="shared" si="0"/>
        <v>74197</v>
      </c>
      <c r="I42">
        <f t="shared" si="1"/>
        <v>4.9543217236313275E-2</v>
      </c>
      <c r="L42"/>
      <c r="O42" s="14"/>
    </row>
    <row r="43" spans="1:19">
      <c r="A43" s="18" t="s">
        <v>112</v>
      </c>
      <c r="B43" s="25">
        <v>70545</v>
      </c>
      <c r="C43" s="29">
        <v>54986</v>
      </c>
      <c r="D43" s="21"/>
      <c r="E43" s="3">
        <v>18</v>
      </c>
      <c r="F43" s="3">
        <v>94052.222500462842</v>
      </c>
      <c r="G43" s="3">
        <v>38657.777499537158</v>
      </c>
      <c r="H43">
        <f t="shared" si="0"/>
        <v>132710</v>
      </c>
      <c r="I43">
        <f t="shared" si="1"/>
        <v>0.29129513600736312</v>
      </c>
      <c r="L43"/>
      <c r="O43" s="14"/>
    </row>
    <row r="44" spans="1:19">
      <c r="A44" s="18" t="s">
        <v>107</v>
      </c>
      <c r="B44" s="25">
        <v>61750</v>
      </c>
      <c r="C44" s="29">
        <v>56301</v>
      </c>
      <c r="D44" s="21"/>
      <c r="E44" s="3">
        <v>19</v>
      </c>
      <c r="F44" s="3">
        <v>63829.430545444899</v>
      </c>
      <c r="G44" s="3">
        <v>-15341.430545444899</v>
      </c>
      <c r="H44">
        <f t="shared" si="0"/>
        <v>48488</v>
      </c>
      <c r="I44">
        <f t="shared" si="1"/>
        <v>0.31639643923125099</v>
      </c>
      <c r="L44"/>
      <c r="O44" s="14"/>
    </row>
    <row r="45" spans="1:19">
      <c r="A45" s="18" t="s">
        <v>88</v>
      </c>
      <c r="B45" s="25">
        <v>84262</v>
      </c>
      <c r="C45" s="29">
        <v>63529</v>
      </c>
      <c r="D45" s="21"/>
      <c r="E45" s="3">
        <v>20</v>
      </c>
      <c r="F45" s="3">
        <v>72332.250508886995</v>
      </c>
      <c r="G45" s="3">
        <v>5869.7494911130052</v>
      </c>
      <c r="H45">
        <f t="shared" si="0"/>
        <v>78202</v>
      </c>
      <c r="I45">
        <f t="shared" si="1"/>
        <v>7.5058815517672253E-2</v>
      </c>
      <c r="L45"/>
      <c r="O45" s="14"/>
    </row>
    <row r="46" spans="1:19">
      <c r="A46" s="18" t="s">
        <v>76</v>
      </c>
      <c r="B46" s="25">
        <v>90667</v>
      </c>
      <c r="C46" s="29">
        <v>67579</v>
      </c>
      <c r="D46" s="21"/>
      <c r="E46" s="3">
        <v>21</v>
      </c>
      <c r="F46" s="3">
        <v>72040.06986683268</v>
      </c>
      <c r="G46" s="3">
        <v>-13785.06986683268</v>
      </c>
      <c r="H46">
        <f t="shared" si="0"/>
        <v>58255</v>
      </c>
      <c r="I46">
        <f t="shared" si="1"/>
        <v>0.23663324807883754</v>
      </c>
      <c r="L46"/>
      <c r="O46" s="14"/>
    </row>
    <row r="47" spans="1:19">
      <c r="A47" s="18" t="s">
        <v>68</v>
      </c>
      <c r="B47" s="25">
        <v>73536</v>
      </c>
      <c r="C47" s="29">
        <v>72926</v>
      </c>
      <c r="D47" s="21"/>
      <c r="E47" s="3">
        <v>22</v>
      </c>
      <c r="F47" s="3">
        <v>66375.502001783214</v>
      </c>
      <c r="G47" s="3">
        <v>-9477.5020017832139</v>
      </c>
      <c r="H47">
        <f t="shared" si="0"/>
        <v>56898</v>
      </c>
      <c r="I47">
        <f t="shared" si="1"/>
        <v>0.16657003764250439</v>
      </c>
      <c r="L47"/>
      <c r="O47" s="14"/>
    </row>
    <row r="48" spans="1:19">
      <c r="A48" s="18" t="s">
        <v>118</v>
      </c>
      <c r="B48" s="25">
        <v>64100</v>
      </c>
      <c r="C48" s="29">
        <v>44639</v>
      </c>
      <c r="D48" s="21"/>
      <c r="E48" s="3">
        <v>23</v>
      </c>
      <c r="F48" s="3">
        <v>124683.96356016782</v>
      </c>
      <c r="G48" s="3">
        <v>-54273.963560167816</v>
      </c>
      <c r="H48">
        <f t="shared" si="0"/>
        <v>70410</v>
      </c>
      <c r="I48">
        <f t="shared" si="1"/>
        <v>0.77082748984757588</v>
      </c>
      <c r="L48"/>
      <c r="O48" s="14"/>
    </row>
    <row r="49" spans="1:15">
      <c r="A49" s="18" t="s">
        <v>120</v>
      </c>
      <c r="B49" s="25">
        <v>24816</v>
      </c>
      <c r="C49" s="29">
        <v>40588</v>
      </c>
      <c r="D49" s="21"/>
      <c r="E49" s="3">
        <v>24</v>
      </c>
      <c r="F49" s="3">
        <v>85081.290744599799</v>
      </c>
      <c r="G49" s="3">
        <v>9944.7092554002011</v>
      </c>
      <c r="H49">
        <f t="shared" si="0"/>
        <v>95026</v>
      </c>
      <c r="I49">
        <f t="shared" si="1"/>
        <v>0.10465250831772568</v>
      </c>
      <c r="L49"/>
      <c r="O49" s="14"/>
    </row>
    <row r="50" spans="1:15">
      <c r="A50" s="18" t="s">
        <v>114</v>
      </c>
      <c r="B50" s="25">
        <v>40166</v>
      </c>
      <c r="C50" s="29">
        <v>49162</v>
      </c>
      <c r="D50" s="21"/>
      <c r="E50" s="3">
        <v>25</v>
      </c>
      <c r="F50" s="3">
        <v>58099.472341321103</v>
      </c>
      <c r="G50" s="3">
        <v>5109.5276586788968</v>
      </c>
      <c r="H50">
        <f t="shared" si="0"/>
        <v>63209</v>
      </c>
      <c r="I50">
        <f t="shared" si="1"/>
        <v>8.0835445247969387E-2</v>
      </c>
      <c r="L50"/>
      <c r="O50" s="14"/>
    </row>
    <row r="51" spans="1:15">
      <c r="A51" s="18" t="s">
        <v>65</v>
      </c>
      <c r="B51" s="25">
        <v>120273</v>
      </c>
      <c r="C51" s="29">
        <v>74210</v>
      </c>
      <c r="D51" s="21"/>
      <c r="E51" s="3">
        <v>26</v>
      </c>
      <c r="F51" s="3">
        <v>65679.042993547162</v>
      </c>
      <c r="G51" s="3">
        <v>-552.04299354716204</v>
      </c>
      <c r="H51">
        <f t="shared" si="0"/>
        <v>65127</v>
      </c>
      <c r="I51">
        <f t="shared" si="1"/>
        <v>8.4764075352336526E-3</v>
      </c>
      <c r="L51"/>
      <c r="O51" s="14"/>
    </row>
    <row r="52" spans="1:15">
      <c r="A52" s="18" t="s">
        <v>52</v>
      </c>
      <c r="B52" s="25">
        <v>96407</v>
      </c>
      <c r="C52" s="29">
        <v>88854</v>
      </c>
      <c r="D52" s="21"/>
      <c r="E52" s="3">
        <v>27</v>
      </c>
      <c r="F52" s="3">
        <v>70120.396341150772</v>
      </c>
      <c r="G52" s="3">
        <v>11905.603658849228</v>
      </c>
      <c r="H52">
        <f t="shared" si="0"/>
        <v>82026</v>
      </c>
      <c r="I52">
        <f t="shared" si="1"/>
        <v>0.14514426716954659</v>
      </c>
      <c r="L52"/>
      <c r="O52" s="14"/>
    </row>
    <row r="53" spans="1:15">
      <c r="A53" s="18" t="s">
        <v>109</v>
      </c>
      <c r="B53" s="25">
        <v>89422</v>
      </c>
      <c r="C53" s="29">
        <v>55310</v>
      </c>
      <c r="D53" s="21"/>
      <c r="E53" s="3">
        <v>28</v>
      </c>
      <c r="F53" s="3">
        <v>77046.582573578649</v>
      </c>
      <c r="G53" s="3">
        <v>-9296.5825735786493</v>
      </c>
      <c r="H53">
        <f t="shared" si="0"/>
        <v>67750</v>
      </c>
      <c r="I53">
        <f t="shared" si="1"/>
        <v>0.13721893097533061</v>
      </c>
      <c r="L53"/>
      <c r="O53" s="14"/>
    </row>
    <row r="54" spans="1:15">
      <c r="A54" s="18" t="s">
        <v>95</v>
      </c>
      <c r="B54" s="25">
        <v>52294</v>
      </c>
      <c r="C54" s="29">
        <v>60998</v>
      </c>
      <c r="D54" s="21"/>
      <c r="E54" s="3">
        <v>29</v>
      </c>
      <c r="F54" s="3">
        <v>96619.57176554756</v>
      </c>
      <c r="G54" s="3">
        <v>60261.42823445244</v>
      </c>
      <c r="H54">
        <f t="shared" si="0"/>
        <v>156881</v>
      </c>
      <c r="I54">
        <f t="shared" si="1"/>
        <v>0.38412190280819503</v>
      </c>
      <c r="L54"/>
      <c r="O54" s="14"/>
    </row>
    <row r="55" spans="1:15">
      <c r="A55" s="18" t="s">
        <v>104</v>
      </c>
      <c r="B55" s="25">
        <v>52126</v>
      </c>
      <c r="C55" s="29">
        <v>57133</v>
      </c>
      <c r="D55" s="21"/>
      <c r="E55" s="3">
        <v>30</v>
      </c>
      <c r="F55" s="3">
        <v>86269.734208728361</v>
      </c>
      <c r="G55" s="3">
        <v>12935.265791271639</v>
      </c>
      <c r="H55">
        <f t="shared" si="0"/>
        <v>99205</v>
      </c>
      <c r="I55">
        <f t="shared" si="1"/>
        <v>0.1303892524698517</v>
      </c>
      <c r="L55"/>
      <c r="O55" s="14"/>
    </row>
    <row r="56" spans="1:15">
      <c r="A56" s="18" t="s">
        <v>43</v>
      </c>
      <c r="B56" s="25">
        <v>118877</v>
      </c>
      <c r="C56" s="29">
        <v>126868</v>
      </c>
      <c r="D56" s="21"/>
      <c r="E56" s="3">
        <v>31</v>
      </c>
      <c r="F56" s="3">
        <v>101877.26640969014</v>
      </c>
      <c r="G56" s="3">
        <v>12399.733590309857</v>
      </c>
      <c r="H56">
        <f t="shared" si="0"/>
        <v>114277</v>
      </c>
      <c r="I56">
        <f t="shared" si="1"/>
        <v>0.10850594249332637</v>
      </c>
      <c r="L56"/>
      <c r="O56" s="14"/>
    </row>
    <row r="57" spans="1:15">
      <c r="A57" s="18" t="s">
        <v>116</v>
      </c>
      <c r="B57" s="25">
        <v>58610</v>
      </c>
      <c r="C57" s="29">
        <v>48163</v>
      </c>
      <c r="D57" s="21"/>
      <c r="E57" s="3">
        <v>32</v>
      </c>
      <c r="F57" s="3">
        <v>78200.773955334938</v>
      </c>
      <c r="G57" s="3">
        <v>57005.226044665062</v>
      </c>
      <c r="H57">
        <f t="shared" si="0"/>
        <v>135206</v>
      </c>
      <c r="I57">
        <f t="shared" si="1"/>
        <v>0.4216175764734188</v>
      </c>
      <c r="L57"/>
      <c r="O57" s="14"/>
    </row>
    <row r="58" spans="1:15">
      <c r="A58" s="18" t="s">
        <v>63</v>
      </c>
      <c r="B58" s="25">
        <v>114065</v>
      </c>
      <c r="C58" s="29">
        <v>75764</v>
      </c>
      <c r="D58" s="21"/>
      <c r="E58" s="3">
        <v>33</v>
      </c>
      <c r="F58" s="3">
        <v>83598.590754636782</v>
      </c>
      <c r="G58" s="3">
        <v>-14052.590754636782</v>
      </c>
      <c r="H58">
        <f t="shared" si="0"/>
        <v>69546</v>
      </c>
      <c r="I58">
        <f t="shared" si="1"/>
        <v>0.2020618116733785</v>
      </c>
      <c r="L58"/>
      <c r="O58" s="14"/>
    </row>
    <row r="59" spans="1:15">
      <c r="A59" s="18" t="s">
        <v>78</v>
      </c>
      <c r="B59" s="25">
        <v>58383</v>
      </c>
      <c r="C59" s="29">
        <v>67541</v>
      </c>
      <c r="D59" s="21"/>
      <c r="E59" s="3">
        <v>34</v>
      </c>
      <c r="F59" s="3">
        <v>70430.221995336266</v>
      </c>
      <c r="G59" s="3">
        <v>-7455.2219953362655</v>
      </c>
      <c r="H59">
        <f t="shared" si="0"/>
        <v>62975</v>
      </c>
      <c r="I59">
        <f t="shared" si="1"/>
        <v>0.11838383478104431</v>
      </c>
      <c r="L59"/>
      <c r="O59" s="14"/>
    </row>
    <row r="60" spans="1:15">
      <c r="A60" s="18" t="s">
        <v>69</v>
      </c>
      <c r="B60" s="25">
        <v>64698</v>
      </c>
      <c r="C60" s="29">
        <v>71616</v>
      </c>
      <c r="D60" s="21"/>
      <c r="E60" s="3">
        <v>35</v>
      </c>
      <c r="F60" s="3">
        <v>87825.609101941227</v>
      </c>
      <c r="G60" s="3">
        <v>-11055.609101941227</v>
      </c>
      <c r="H60">
        <f t="shared" si="0"/>
        <v>76770</v>
      </c>
      <c r="I60">
        <f t="shared" si="1"/>
        <v>0.14400949722471312</v>
      </c>
      <c r="L60"/>
      <c r="O60" s="14"/>
    </row>
    <row r="61" spans="1:15">
      <c r="A61" s="18" t="s">
        <v>93</v>
      </c>
      <c r="B61" s="25">
        <v>106713</v>
      </c>
      <c r="C61" s="29">
        <v>62482</v>
      </c>
      <c r="D61" s="21"/>
      <c r="E61" s="3">
        <v>36</v>
      </c>
      <c r="F61" s="3">
        <v>76777.755624050886</v>
      </c>
      <c r="G61" s="3">
        <v>-11373.755624050886</v>
      </c>
      <c r="H61">
        <f t="shared" si="0"/>
        <v>65404</v>
      </c>
      <c r="I61">
        <f t="shared" si="1"/>
        <v>0.17390000036772804</v>
      </c>
      <c r="L61"/>
      <c r="O61" s="14"/>
    </row>
    <row r="62" spans="1:15">
      <c r="A62" s="18" t="s">
        <v>86</v>
      </c>
      <c r="B62" s="25">
        <v>75112</v>
      </c>
      <c r="C62" s="29">
        <v>64455</v>
      </c>
      <c r="D62" s="21"/>
      <c r="E62" s="3">
        <v>37</v>
      </c>
      <c r="F62" s="3">
        <v>67499.593068727525</v>
      </c>
      <c r="G62" s="3">
        <v>-3440.593068727525</v>
      </c>
      <c r="H62">
        <f t="shared" si="0"/>
        <v>64059</v>
      </c>
      <c r="I62">
        <f t="shared" si="1"/>
        <v>5.3709753020301988E-2</v>
      </c>
      <c r="L62"/>
      <c r="O62" s="14"/>
    </row>
    <row r="63" spans="1:15">
      <c r="A63" s="18" t="s">
        <v>73</v>
      </c>
      <c r="B63" s="25">
        <v>87081</v>
      </c>
      <c r="C63" s="29">
        <v>70393</v>
      </c>
      <c r="D63" s="21"/>
      <c r="E63" s="3">
        <v>38</v>
      </c>
      <c r="F63" s="3">
        <v>69116.187562509382</v>
      </c>
      <c r="G63" s="3">
        <v>-12982.187562509382</v>
      </c>
      <c r="H63">
        <f t="shared" si="0"/>
        <v>56134</v>
      </c>
      <c r="I63">
        <f t="shared" si="1"/>
        <v>0.23127137853189478</v>
      </c>
      <c r="L63"/>
      <c r="O63" s="14"/>
    </row>
    <row r="64" spans="1:15">
      <c r="A64" s="18" t="s">
        <v>99</v>
      </c>
      <c r="B64" s="25">
        <v>65624</v>
      </c>
      <c r="C64" s="29">
        <v>58626</v>
      </c>
      <c r="D64" s="21"/>
      <c r="E64" s="3">
        <v>39</v>
      </c>
      <c r="F64" s="3">
        <v>68483.561980512575</v>
      </c>
      <c r="G64" s="3">
        <v>-11015.561980512575</v>
      </c>
      <c r="H64">
        <f t="shared" si="0"/>
        <v>57468</v>
      </c>
      <c r="I64">
        <f t="shared" si="1"/>
        <v>0.19168166597954645</v>
      </c>
      <c r="L64"/>
      <c r="O64" s="14"/>
    </row>
    <row r="65" spans="1:15">
      <c r="A65" s="18" t="s">
        <v>42</v>
      </c>
      <c r="B65" s="25">
        <v>133994</v>
      </c>
      <c r="C65" s="29">
        <v>130360</v>
      </c>
      <c r="D65" s="21"/>
      <c r="E65" s="3">
        <v>40</v>
      </c>
      <c r="F65" s="3">
        <v>84768.870235689144</v>
      </c>
      <c r="G65" s="3">
        <v>-9923.8702356891445</v>
      </c>
      <c r="H65">
        <f t="shared" si="0"/>
        <v>74845</v>
      </c>
      <c r="I65">
        <f t="shared" si="1"/>
        <v>0.13259229388321389</v>
      </c>
      <c r="L65"/>
      <c r="O65" s="14"/>
    </row>
    <row r="66" spans="1:15">
      <c r="A66" s="18" t="s">
        <v>58</v>
      </c>
      <c r="B66" s="25">
        <v>158779</v>
      </c>
      <c r="C66" s="29">
        <v>79079</v>
      </c>
      <c r="D66" s="21"/>
      <c r="E66" s="3">
        <v>41</v>
      </c>
      <c r="F66" s="3">
        <v>98668.469056543021</v>
      </c>
      <c r="G66" s="3">
        <v>-9748.469056543021</v>
      </c>
      <c r="H66">
        <f t="shared" si="0"/>
        <v>88920</v>
      </c>
      <c r="I66">
        <f t="shared" si="1"/>
        <v>0.1096319057191073</v>
      </c>
      <c r="L66"/>
      <c r="O66" s="14"/>
    </row>
    <row r="67" spans="1:15">
      <c r="A67" s="18" t="s">
        <v>97</v>
      </c>
      <c r="B67" s="25">
        <v>59996</v>
      </c>
      <c r="C67" s="29">
        <v>60415</v>
      </c>
      <c r="D67" s="21"/>
      <c r="E67" s="3">
        <v>42</v>
      </c>
      <c r="F67" s="3">
        <v>65489.099627664611</v>
      </c>
      <c r="G67" s="3">
        <v>-10503.099627664611</v>
      </c>
      <c r="H67">
        <f t="shared" si="0"/>
        <v>54986</v>
      </c>
      <c r="I67">
        <f t="shared" si="1"/>
        <v>0.19101406953887556</v>
      </c>
      <c r="L67"/>
      <c r="O67" s="14"/>
    </row>
    <row r="68" spans="1:15">
      <c r="A68" s="18" t="s">
        <v>103</v>
      </c>
      <c r="B68" s="25">
        <v>90020</v>
      </c>
      <c r="C68" s="29">
        <v>57183</v>
      </c>
      <c r="D68" s="21"/>
      <c r="E68" s="3">
        <v>43</v>
      </c>
      <c r="F68" s="3">
        <v>60924.750166087877</v>
      </c>
      <c r="G68" s="3">
        <v>-4623.750166087877</v>
      </c>
      <c r="H68">
        <f t="shared" si="0"/>
        <v>56301</v>
      </c>
      <c r="I68">
        <f t="shared" si="1"/>
        <v>8.2125542460842207E-2</v>
      </c>
      <c r="L68"/>
      <c r="O68" s="14"/>
    </row>
    <row r="69" spans="1:15">
      <c r="A69" s="18" t="s">
        <v>111</v>
      </c>
      <c r="B69" s="25">
        <v>74538</v>
      </c>
      <c r="C69" s="29">
        <v>55168</v>
      </c>
      <c r="D69" s="21"/>
      <c r="E69" s="3">
        <v>44</v>
      </c>
      <c r="F69" s="3">
        <v>72607.824080700215</v>
      </c>
      <c r="G69" s="3">
        <v>-9078.8240807002148</v>
      </c>
      <c r="H69">
        <f t="shared" si="0"/>
        <v>63529</v>
      </c>
      <c r="I69">
        <f t="shared" si="1"/>
        <v>0.14290834234287042</v>
      </c>
      <c r="L69"/>
      <c r="O69" s="14"/>
    </row>
    <row r="70" spans="1:15">
      <c r="A70" s="18" t="s">
        <v>85</v>
      </c>
      <c r="B70" s="25">
        <v>76218</v>
      </c>
      <c r="C70" s="29">
        <v>64706</v>
      </c>
      <c r="D70" s="21"/>
      <c r="E70" s="3">
        <v>45</v>
      </c>
      <c r="F70" s="3">
        <v>75931.832983644956</v>
      </c>
      <c r="G70" s="3">
        <v>-8352.8329836449557</v>
      </c>
      <c r="H70">
        <f t="shared" si="0"/>
        <v>67579</v>
      </c>
      <c r="I70">
        <f t="shared" si="1"/>
        <v>0.12360101486622997</v>
      </c>
      <c r="L70"/>
      <c r="O70" s="14"/>
    </row>
    <row r="71" spans="1:15">
      <c r="A71" s="18" t="s">
        <v>60</v>
      </c>
      <c r="B71" s="25">
        <v>70818</v>
      </c>
      <c r="C71" s="29">
        <v>78524</v>
      </c>
      <c r="D71" s="21"/>
      <c r="E71" s="3">
        <v>46</v>
      </c>
      <c r="F71" s="3">
        <v>67041.341724262224</v>
      </c>
      <c r="G71" s="3">
        <v>5884.6582757377764</v>
      </c>
      <c r="H71">
        <f t="shared" si="0"/>
        <v>72926</v>
      </c>
      <c r="I71">
        <f t="shared" si="1"/>
        <v>8.0693556149216694E-2</v>
      </c>
      <c r="L71"/>
      <c r="O71" s="14"/>
    </row>
    <row r="72" spans="1:15">
      <c r="A72" s="18" t="s">
        <v>67</v>
      </c>
      <c r="B72" s="25">
        <v>79125</v>
      </c>
      <c r="C72" s="29">
        <v>73868</v>
      </c>
      <c r="D72" s="21"/>
      <c r="E72" s="3">
        <v>47</v>
      </c>
      <c r="F72" s="3">
        <v>62144.331886918502</v>
      </c>
      <c r="G72" s="3">
        <v>-17505.331886918502</v>
      </c>
      <c r="H72">
        <f t="shared" si="0"/>
        <v>44639</v>
      </c>
      <c r="I72">
        <f t="shared" si="1"/>
        <v>0.39215331631350392</v>
      </c>
      <c r="L72"/>
      <c r="O72" s="14"/>
    </row>
    <row r="73" spans="1:15">
      <c r="A73" s="18" t="s">
        <v>45</v>
      </c>
      <c r="B73" s="25">
        <v>119041</v>
      </c>
      <c r="C73" s="29">
        <v>121907</v>
      </c>
      <c r="D73" s="21"/>
      <c r="E73" s="3">
        <v>48</v>
      </c>
      <c r="F73" s="3">
        <v>41757.077282190759</v>
      </c>
      <c r="G73" s="3">
        <v>-1169.0772821907594</v>
      </c>
      <c r="H73">
        <f t="shared" si="0"/>
        <v>40588</v>
      </c>
      <c r="I73">
        <f t="shared" si="1"/>
        <v>2.8803520306266862E-2</v>
      </c>
      <c r="L73"/>
      <c r="O73" s="14"/>
    </row>
    <row r="74" spans="1:15">
      <c r="A74" s="18" t="s">
        <v>77</v>
      </c>
      <c r="B74" s="25">
        <v>85129</v>
      </c>
      <c r="C74" s="29">
        <v>67561</v>
      </c>
      <c r="D74" s="21"/>
      <c r="E74" s="3">
        <v>49</v>
      </c>
      <c r="F74" s="3">
        <v>49723.281288467377</v>
      </c>
      <c r="G74" s="3">
        <v>-561.28128846737673</v>
      </c>
      <c r="H74">
        <f t="shared" si="0"/>
        <v>49162</v>
      </c>
      <c r="I74">
        <f t="shared" si="1"/>
        <v>1.1416974257910108E-2</v>
      </c>
      <c r="L74"/>
      <c r="O74" s="14"/>
    </row>
    <row r="75" spans="1:15">
      <c r="A75" s="18" t="s">
        <v>98</v>
      </c>
      <c r="B75" s="25">
        <v>78123</v>
      </c>
      <c r="C75" s="29">
        <v>59743</v>
      </c>
      <c r="D75" s="21"/>
      <c r="E75" s="3">
        <v>50</v>
      </c>
      <c r="F75" s="3">
        <v>91296.48678233067</v>
      </c>
      <c r="G75" s="3">
        <v>-17086.48678233067</v>
      </c>
      <c r="H75">
        <f t="shared" si="0"/>
        <v>74210</v>
      </c>
      <c r="I75">
        <f t="shared" si="1"/>
        <v>0.23024507185461085</v>
      </c>
      <c r="L75"/>
      <c r="O75" s="14"/>
    </row>
    <row r="76" spans="1:15">
      <c r="A76" s="18" t="s">
        <v>50</v>
      </c>
      <c r="B76" s="25">
        <v>135821</v>
      </c>
      <c r="C76" s="29">
        <v>90296</v>
      </c>
      <c r="D76" s="21"/>
      <c r="E76" s="3">
        <v>51</v>
      </c>
      <c r="F76" s="3">
        <v>78910.726208141888</v>
      </c>
      <c r="G76" s="3">
        <v>9943.2737918581115</v>
      </c>
      <c r="H76">
        <f t="shared" si="0"/>
        <v>88854</v>
      </c>
      <c r="I76">
        <f t="shared" si="1"/>
        <v>0.11190575316652161</v>
      </c>
      <c r="L76"/>
      <c r="O76" s="14"/>
    </row>
    <row r="77" spans="1:15">
      <c r="A77" s="18" t="s">
        <v>44</v>
      </c>
      <c r="B77" s="25">
        <v>112512</v>
      </c>
      <c r="C77" s="29">
        <v>124744</v>
      </c>
      <c r="D77" s="21"/>
      <c r="E77" s="3">
        <v>52</v>
      </c>
      <c r="F77" s="3">
        <v>75285.714157077251</v>
      </c>
      <c r="G77" s="3">
        <v>-19975.714157077251</v>
      </c>
      <c r="H77">
        <f t="shared" si="0"/>
        <v>55310</v>
      </c>
      <c r="I77">
        <f t="shared" si="1"/>
        <v>0.36115917839590039</v>
      </c>
      <c r="L77"/>
      <c r="O77" s="14"/>
    </row>
    <row r="78" spans="1:15">
      <c r="A78" s="18" t="s">
        <v>71</v>
      </c>
      <c r="B78" s="25">
        <v>90766</v>
      </c>
      <c r="C78" s="29">
        <v>70946</v>
      </c>
      <c r="D78" s="21"/>
      <c r="E78" s="3">
        <v>53</v>
      </c>
      <c r="F78" s="3">
        <v>56017.360909843468</v>
      </c>
      <c r="G78" s="3">
        <v>4980.6390901565319</v>
      </c>
      <c r="H78">
        <f t="shared" si="0"/>
        <v>60998</v>
      </c>
      <c r="I78">
        <f t="shared" si="1"/>
        <v>8.1652498281198263E-2</v>
      </c>
      <c r="L78"/>
      <c r="O78" s="14"/>
    </row>
    <row r="79" spans="1:15">
      <c r="A79" s="18" t="s">
        <v>119</v>
      </c>
      <c r="B79" s="25">
        <v>57057</v>
      </c>
      <c r="C79" s="29">
        <v>41840</v>
      </c>
      <c r="D79" s="21"/>
      <c r="E79" s="3">
        <v>54</v>
      </c>
      <c r="F79" s="3">
        <v>55930.173791077701</v>
      </c>
      <c r="G79" s="3">
        <v>1202.826208922299</v>
      </c>
      <c r="H79">
        <f t="shared" si="0"/>
        <v>57133</v>
      </c>
      <c r="I79">
        <f t="shared" si="1"/>
        <v>2.1053090314219435E-2</v>
      </c>
      <c r="L79"/>
      <c r="O79" s="14"/>
    </row>
    <row r="80" spans="1:15">
      <c r="A80" s="18" t="s">
        <v>96</v>
      </c>
      <c r="B80" s="25">
        <v>72932</v>
      </c>
      <c r="C80" s="29">
        <v>60844</v>
      </c>
      <c r="D80" s="21"/>
      <c r="E80" s="3">
        <v>55</v>
      </c>
      <c r="F80" s="3">
        <v>90572.003343062766</v>
      </c>
      <c r="G80" s="3">
        <v>36295.996656937234</v>
      </c>
      <c r="H80">
        <f t="shared" si="0"/>
        <v>126868</v>
      </c>
      <c r="I80">
        <f t="shared" si="1"/>
        <v>0.28609260536098335</v>
      </c>
      <c r="L80"/>
      <c r="O80" s="14"/>
    </row>
    <row r="81" spans="1:15">
      <c r="A81" s="18" t="s">
        <v>36</v>
      </c>
      <c r="B81" s="25">
        <v>106794</v>
      </c>
      <c r="C81" s="29">
        <v>188561</v>
      </c>
      <c r="D81" s="21"/>
      <c r="E81" s="3">
        <v>56</v>
      </c>
      <c r="F81" s="3">
        <v>59295.18139868015</v>
      </c>
      <c r="G81" s="3">
        <v>-11132.18139868015</v>
      </c>
      <c r="H81">
        <f t="shared" si="0"/>
        <v>48163</v>
      </c>
      <c r="I81">
        <f t="shared" si="1"/>
        <v>0.23113554800739466</v>
      </c>
      <c r="L81"/>
      <c r="O81" s="14"/>
    </row>
    <row r="82" spans="1:15">
      <c r="A82" s="18" t="s">
        <v>37</v>
      </c>
      <c r="B82" s="25">
        <v>134791</v>
      </c>
      <c r="C82" s="29">
        <v>163879</v>
      </c>
      <c r="D82" s="21"/>
      <c r="E82" s="3">
        <v>57</v>
      </c>
      <c r="F82" s="3">
        <v>88074.715155557686</v>
      </c>
      <c r="G82" s="3">
        <v>-12310.715155557686</v>
      </c>
      <c r="H82">
        <f t="shared" si="0"/>
        <v>75764</v>
      </c>
      <c r="I82">
        <f t="shared" si="1"/>
        <v>0.1624876610997002</v>
      </c>
      <c r="L82"/>
      <c r="O82" s="14"/>
    </row>
    <row r="83" spans="1:15">
      <c r="A83" s="18" t="s">
        <v>80</v>
      </c>
      <c r="B83" s="25">
        <v>84096</v>
      </c>
      <c r="C83" s="29">
        <v>66006</v>
      </c>
      <c r="D83" s="21"/>
      <c r="E83" s="3">
        <v>58</v>
      </c>
      <c r="F83" s="3">
        <v>59177.374994157362</v>
      </c>
      <c r="G83" s="3">
        <v>8363.6250058426376</v>
      </c>
      <c r="H83">
        <f t="shared" si="0"/>
        <v>67541</v>
      </c>
      <c r="I83">
        <f t="shared" si="1"/>
        <v>0.12383034017622833</v>
      </c>
      <c r="L83"/>
      <c r="O83" s="14"/>
    </row>
    <row r="84" spans="1:15">
      <c r="A84" s="18" t="s">
        <v>38</v>
      </c>
      <c r="B84" s="25">
        <v>307068</v>
      </c>
      <c r="C84" s="29">
        <v>162572</v>
      </c>
      <c r="D84" s="21"/>
      <c r="E84" s="3">
        <v>59</v>
      </c>
      <c r="F84" s="3">
        <v>62454.676512049016</v>
      </c>
      <c r="G84" s="3">
        <v>9161.3234879509837</v>
      </c>
      <c r="H84">
        <f t="shared" si="0"/>
        <v>71616</v>
      </c>
      <c r="I84">
        <f t="shared" si="1"/>
        <v>0.12792285924864533</v>
      </c>
      <c r="L84"/>
      <c r="O84" s="14"/>
    </row>
    <row r="85" spans="1:15">
      <c r="A85" s="18" t="s">
        <v>47</v>
      </c>
      <c r="B85" s="25">
        <v>174153</v>
      </c>
      <c r="C85" s="29">
        <v>110473</v>
      </c>
      <c r="D85" s="21"/>
      <c r="E85" s="3">
        <v>60</v>
      </c>
      <c r="F85" s="3">
        <v>84259.240767665455</v>
      </c>
      <c r="G85" s="3">
        <v>-21777.240767665455</v>
      </c>
      <c r="H85">
        <f t="shared" si="0"/>
        <v>62482</v>
      </c>
      <c r="I85">
        <f t="shared" si="1"/>
        <v>0.34853623071709378</v>
      </c>
      <c r="L85"/>
      <c r="O85" s="14"/>
    </row>
    <row r="86" spans="1:15" ht="17" thickBot="1">
      <c r="A86" s="19" t="s">
        <v>105</v>
      </c>
      <c r="B86" s="30">
        <v>94248</v>
      </c>
      <c r="C86" s="31">
        <v>56942</v>
      </c>
      <c r="D86" s="21"/>
      <c r="E86" s="3">
        <v>61</v>
      </c>
      <c r="F86" s="3">
        <v>67859.239933636301</v>
      </c>
      <c r="G86" s="3">
        <v>-3404.2399336363014</v>
      </c>
      <c r="H86">
        <f t="shared" si="0"/>
        <v>64455</v>
      </c>
      <c r="I86">
        <f t="shared" si="1"/>
        <v>5.2815761905768387E-2</v>
      </c>
      <c r="L86"/>
    </row>
    <row r="87" spans="1:15">
      <c r="E87" s="3">
        <v>62</v>
      </c>
      <c r="F87" s="3">
        <v>74070.803174751927</v>
      </c>
      <c r="G87" s="3">
        <v>-3677.8031747519271</v>
      </c>
      <c r="H87">
        <f t="shared" si="0"/>
        <v>70393</v>
      </c>
      <c r="I87">
        <f t="shared" si="1"/>
        <v>5.224671735473594E-2</v>
      </c>
      <c r="L87"/>
    </row>
    <row r="88" spans="1:15">
      <c r="E88" s="3">
        <v>63</v>
      </c>
      <c r="F88" s="3">
        <v>62935.243607150784</v>
      </c>
      <c r="G88" s="3">
        <v>-4309.2436071507836</v>
      </c>
      <c r="H88">
        <f t="shared" si="0"/>
        <v>58626</v>
      </c>
      <c r="I88">
        <f t="shared" si="1"/>
        <v>7.3503967644914944E-2</v>
      </c>
      <c r="L88"/>
    </row>
    <row r="89" spans="1:15">
      <c r="E89" s="3">
        <v>64</v>
      </c>
      <c r="F89" s="3">
        <v>98417.287119146407</v>
      </c>
      <c r="G89" s="3">
        <v>31942.712880853593</v>
      </c>
      <c r="H89">
        <f t="shared" si="0"/>
        <v>130360</v>
      </c>
      <c r="I89">
        <f t="shared" si="1"/>
        <v>0.2450346186012089</v>
      </c>
      <c r="L89"/>
    </row>
    <row r="90" spans="1:15">
      <c r="E90" s="3">
        <v>65</v>
      </c>
      <c r="F90" s="3">
        <v>111279.98199182173</v>
      </c>
      <c r="G90" s="3">
        <v>-32200.981991821725</v>
      </c>
      <c r="H90">
        <f t="shared" si="0"/>
        <v>79079</v>
      </c>
      <c r="I90">
        <f t="shared" si="1"/>
        <v>0.40720016681826687</v>
      </c>
      <c r="L90"/>
    </row>
    <row r="91" spans="1:15">
      <c r="E91" s="3">
        <v>66</v>
      </c>
      <c r="F91" s="3">
        <v>60014.475128497703</v>
      </c>
      <c r="G91" s="3">
        <v>400.52487150229717</v>
      </c>
      <c r="H91">
        <f t="shared" ref="H91:H110" si="2">G91+F91</f>
        <v>60415</v>
      </c>
      <c r="I91">
        <f t="shared" si="1"/>
        <v>6.6295600679019641E-3</v>
      </c>
      <c r="L91"/>
    </row>
    <row r="92" spans="1:15">
      <c r="E92" s="3">
        <v>67</v>
      </c>
      <c r="F92" s="3">
        <v>75596.05878220775</v>
      </c>
      <c r="G92" s="3">
        <v>-18413.05878220775</v>
      </c>
      <c r="H92">
        <f t="shared" si="2"/>
        <v>57183</v>
      </c>
      <c r="I92">
        <f t="shared" ref="I92:I110" si="3">ABS(G92/H92)</f>
        <v>0.32200232205739032</v>
      </c>
      <c r="L92"/>
    </row>
    <row r="93" spans="1:15">
      <c r="E93" s="3">
        <v>68</v>
      </c>
      <c r="F93" s="3">
        <v>67561.350611186615</v>
      </c>
      <c r="G93" s="3">
        <v>-12393.350611186615</v>
      </c>
      <c r="H93">
        <f t="shared" si="2"/>
        <v>55168</v>
      </c>
      <c r="I93">
        <f t="shared" si="3"/>
        <v>0.22464745162388733</v>
      </c>
      <c r="L93"/>
    </row>
    <row r="94" spans="1:15">
      <c r="E94" s="3">
        <v>69</v>
      </c>
      <c r="F94" s="3">
        <v>68433.221798844243</v>
      </c>
      <c r="G94" s="3">
        <v>-3727.2217988442426</v>
      </c>
      <c r="H94">
        <f t="shared" si="2"/>
        <v>64706</v>
      </c>
      <c r="I94">
        <f t="shared" si="3"/>
        <v>5.7602413977749241E-2</v>
      </c>
      <c r="L94"/>
    </row>
    <row r="95" spans="1:15">
      <c r="E95" s="3">
        <v>70</v>
      </c>
      <c r="F95" s="3">
        <v>65630.778695658984</v>
      </c>
      <c r="G95" s="3">
        <v>12893.221304341016</v>
      </c>
      <c r="H95">
        <f t="shared" si="2"/>
        <v>78524</v>
      </c>
      <c r="I95">
        <f t="shared" si="3"/>
        <v>0.16419465773955752</v>
      </c>
      <c r="L95"/>
    </row>
    <row r="96" spans="1:15">
      <c r="E96" s="3">
        <v>71</v>
      </c>
      <c r="F96" s="3">
        <v>69941.870336058972</v>
      </c>
      <c r="G96" s="3">
        <v>3926.1296639410284</v>
      </c>
      <c r="H96">
        <f t="shared" si="2"/>
        <v>73868</v>
      </c>
      <c r="I96">
        <f t="shared" si="3"/>
        <v>5.3150615475456603E-2</v>
      </c>
      <c r="L96"/>
    </row>
    <row r="97" spans="5:12">
      <c r="E97" s="3">
        <v>72</v>
      </c>
      <c r="F97" s="3">
        <v>90657.114578048408</v>
      </c>
      <c r="G97" s="3">
        <v>31249.885421951592</v>
      </c>
      <c r="H97">
        <f t="shared" si="2"/>
        <v>121907</v>
      </c>
      <c r="I97">
        <f t="shared" si="3"/>
        <v>0.25634201007285545</v>
      </c>
      <c r="L97"/>
    </row>
    <row r="98" spans="5:12">
      <c r="E98" s="3">
        <v>73</v>
      </c>
      <c r="F98" s="3">
        <v>73057.771890044969</v>
      </c>
      <c r="G98" s="3">
        <v>-5496.771890044969</v>
      </c>
      <c r="H98">
        <f t="shared" si="2"/>
        <v>67561</v>
      </c>
      <c r="I98">
        <f t="shared" si="3"/>
        <v>8.13601321775132E-2</v>
      </c>
      <c r="L98"/>
    </row>
    <row r="99" spans="5:12">
      <c r="E99" s="3">
        <v>74</v>
      </c>
      <c r="F99" s="3">
        <v>69421.861449134594</v>
      </c>
      <c r="G99" s="3">
        <v>-9678.8614491345943</v>
      </c>
      <c r="H99">
        <f t="shared" si="2"/>
        <v>59743</v>
      </c>
      <c r="I99">
        <f t="shared" si="3"/>
        <v>0.16200829300729114</v>
      </c>
      <c r="L99"/>
    </row>
    <row r="100" spans="5:12">
      <c r="E100" s="3">
        <v>75</v>
      </c>
      <c r="F100" s="3">
        <v>99365.447035724093</v>
      </c>
      <c r="G100" s="3">
        <v>-9069.4470357240934</v>
      </c>
      <c r="H100">
        <f t="shared" si="2"/>
        <v>90296</v>
      </c>
      <c r="I100">
        <f t="shared" si="3"/>
        <v>0.1004412934761683</v>
      </c>
      <c r="L100"/>
    </row>
    <row r="101" spans="5:12">
      <c r="E101" s="3">
        <v>76</v>
      </c>
      <c r="F101" s="3">
        <v>87268.753277919401</v>
      </c>
      <c r="G101" s="3">
        <v>37475.246722080599</v>
      </c>
      <c r="H101">
        <f t="shared" si="2"/>
        <v>124744</v>
      </c>
      <c r="I101">
        <f t="shared" si="3"/>
        <v>0.30041722826012152</v>
      </c>
      <c r="L101"/>
    </row>
    <row r="102" spans="5:12">
      <c r="E102" s="3">
        <v>77</v>
      </c>
      <c r="F102" s="3">
        <v>75983.211107203359</v>
      </c>
      <c r="G102" s="3">
        <v>-5037.2111072033586</v>
      </c>
      <c r="H102">
        <f t="shared" si="2"/>
        <v>70946</v>
      </c>
      <c r="I102">
        <f t="shared" si="3"/>
        <v>7.1000635796286737E-2</v>
      </c>
      <c r="L102"/>
    </row>
    <row r="103" spans="5:12">
      <c r="E103" s="3">
        <v>78</v>
      </c>
      <c r="F103" s="3">
        <v>58489.219521041872</v>
      </c>
      <c r="G103" s="3">
        <v>-16649.219521041872</v>
      </c>
      <c r="H103">
        <f t="shared" si="2"/>
        <v>41840</v>
      </c>
      <c r="I103">
        <f t="shared" si="3"/>
        <v>0.3979258967744233</v>
      </c>
      <c r="L103"/>
    </row>
    <row r="104" spans="5:12">
      <c r="E104" s="3">
        <v>79</v>
      </c>
      <c r="F104" s="3">
        <v>66727.883273461513</v>
      </c>
      <c r="G104" s="3">
        <v>-5883.8832734615135</v>
      </c>
      <c r="H104">
        <f t="shared" si="2"/>
        <v>60844</v>
      </c>
      <c r="I104">
        <f t="shared" si="3"/>
        <v>9.6704412488684402E-2</v>
      </c>
      <c r="L104"/>
    </row>
    <row r="105" spans="5:12">
      <c r="E105" s="3">
        <v>80</v>
      </c>
      <c r="F105" s="3">
        <v>84301.277414213226</v>
      </c>
      <c r="G105" s="3">
        <v>104259.72258578677</v>
      </c>
      <c r="H105">
        <f t="shared" si="2"/>
        <v>188561</v>
      </c>
      <c r="I105">
        <f t="shared" si="3"/>
        <v>0.55292304657796032</v>
      </c>
      <c r="L105"/>
    </row>
    <row r="106" spans="5:12">
      <c r="E106" s="3">
        <v>81</v>
      </c>
      <c r="F106" s="3">
        <v>98830.906962338748</v>
      </c>
      <c r="G106" s="3">
        <v>65048.093037661252</v>
      </c>
      <c r="H106">
        <f t="shared" si="2"/>
        <v>163879</v>
      </c>
      <c r="I106">
        <f t="shared" si="3"/>
        <v>0.39692756874072488</v>
      </c>
      <c r="L106"/>
    </row>
    <row r="107" spans="5:12">
      <c r="E107" s="3">
        <v>82</v>
      </c>
      <c r="F107" s="3">
        <v>72521.674903824518</v>
      </c>
      <c r="G107" s="3">
        <v>-6515.674903824518</v>
      </c>
      <c r="H107">
        <f t="shared" si="2"/>
        <v>66006</v>
      </c>
      <c r="I107">
        <f t="shared" si="3"/>
        <v>9.8713373084636513E-2</v>
      </c>
      <c r="L107"/>
    </row>
    <row r="108" spans="5:12">
      <c r="E108" s="3">
        <v>83</v>
      </c>
      <c r="F108" s="3">
        <v>188237.6644600142</v>
      </c>
      <c r="G108" s="3">
        <v>-25665.664460014203</v>
      </c>
      <c r="H108">
        <f t="shared" si="2"/>
        <v>162572</v>
      </c>
      <c r="I108">
        <f t="shared" si="3"/>
        <v>0.1578726008169562</v>
      </c>
      <c r="L108"/>
    </row>
    <row r="109" spans="5:12">
      <c r="E109" s="3">
        <v>84</v>
      </c>
      <c r="F109" s="3">
        <v>119258.64130077919</v>
      </c>
      <c r="G109" s="3">
        <v>-8785.6413007791853</v>
      </c>
      <c r="H109">
        <f t="shared" si="2"/>
        <v>110473</v>
      </c>
      <c r="I109">
        <f t="shared" si="3"/>
        <v>7.9527498128766166E-2</v>
      </c>
      <c r="L109"/>
    </row>
    <row r="110" spans="5:12" ht="17" thickBot="1">
      <c r="E110" s="4">
        <v>85</v>
      </c>
      <c r="F110" s="4">
        <v>77790.267937812809</v>
      </c>
      <c r="G110" s="4">
        <v>-20848.267937812809</v>
      </c>
      <c r="H110">
        <f t="shared" si="2"/>
        <v>56942</v>
      </c>
      <c r="I110">
        <f t="shared" si="3"/>
        <v>0.36613164163206086</v>
      </c>
      <c r="L110"/>
    </row>
  </sheetData>
  <mergeCells count="8">
    <mergeCell ref="E1:H1"/>
    <mergeCell ref="O25:S27"/>
    <mergeCell ref="O28:S33"/>
    <mergeCell ref="H10:L10"/>
    <mergeCell ref="H20:L20"/>
    <mergeCell ref="N17:Q23"/>
    <mergeCell ref="L25:N25"/>
    <mergeCell ref="H6:J8"/>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310C-9B25-2546-A88A-A1CC130586CA}">
  <dimension ref="A1:S116"/>
  <sheetViews>
    <sheetView tabSelected="1" zoomScale="108" zoomScaleNormal="75" workbookViewId="0">
      <selection activeCell="H26" sqref="H26"/>
    </sheetView>
  </sheetViews>
  <sheetFormatPr baseColWidth="10" defaultRowHeight="16"/>
  <cols>
    <col min="1" max="1" width="16.33203125" customWidth="1"/>
    <col min="2" max="2" width="11.1640625" customWidth="1"/>
    <col min="3" max="3" width="11.6640625" customWidth="1"/>
    <col min="5" max="5" width="24.83203125" bestFit="1" customWidth="1"/>
    <col min="6" max="6" width="16.33203125" bestFit="1" customWidth="1"/>
    <col min="7" max="7" width="12.6640625" bestFit="1" customWidth="1"/>
    <col min="8" max="9" width="20.1640625" bestFit="1" customWidth="1"/>
    <col min="10" max="10" width="14" bestFit="1" customWidth="1"/>
    <col min="11" max="11" width="13.1640625" bestFit="1" customWidth="1"/>
    <col min="12" max="12" width="11" bestFit="1" customWidth="1"/>
    <col min="13" max="13" width="13.1640625" bestFit="1" customWidth="1"/>
    <col min="19" max="19" width="10.83203125" customWidth="1"/>
  </cols>
  <sheetData>
    <row r="1" spans="1:19" ht="25" customHeight="1" thickBot="1">
      <c r="A1" s="50" t="s">
        <v>137</v>
      </c>
      <c r="B1" s="51" t="s">
        <v>136</v>
      </c>
      <c r="C1" s="49" t="s">
        <v>135</v>
      </c>
    </row>
    <row r="2" spans="1:19">
      <c r="A2" s="52">
        <f>B2*B2</f>
        <v>5951968201</v>
      </c>
      <c r="B2" s="53">
        <v>77149</v>
      </c>
      <c r="C2" s="54">
        <v>55280</v>
      </c>
      <c r="E2" t="s">
        <v>0</v>
      </c>
    </row>
    <row r="3" spans="1:19" ht="17" thickBot="1">
      <c r="A3" s="55">
        <f t="shared" ref="A3:A66" si="0">B3*B3</f>
        <v>8179755364</v>
      </c>
      <c r="B3" s="56">
        <v>90442</v>
      </c>
      <c r="C3" s="57">
        <v>87040</v>
      </c>
    </row>
    <row r="4" spans="1:19">
      <c r="A4" s="55">
        <f t="shared" si="0"/>
        <v>11459060209</v>
      </c>
      <c r="B4" s="56">
        <v>107047</v>
      </c>
      <c r="C4" s="57">
        <v>86404</v>
      </c>
      <c r="E4" s="6" t="s">
        <v>1</v>
      </c>
      <c r="F4" s="6"/>
    </row>
    <row r="5" spans="1:19">
      <c r="A5" s="55">
        <f t="shared" si="0"/>
        <v>3524678161</v>
      </c>
      <c r="B5" s="56">
        <v>59369</v>
      </c>
      <c r="C5" s="57">
        <v>62551</v>
      </c>
      <c r="E5" s="3" t="s">
        <v>2</v>
      </c>
      <c r="F5" s="3">
        <v>0.6731065475709952</v>
      </c>
    </row>
    <row r="6" spans="1:19">
      <c r="A6" s="55">
        <f t="shared" si="0"/>
        <v>6981605136</v>
      </c>
      <c r="B6" s="56">
        <v>83556</v>
      </c>
      <c r="C6" s="57">
        <v>65822</v>
      </c>
      <c r="E6" s="96" t="s">
        <v>3</v>
      </c>
      <c r="F6" s="96">
        <v>0.45307242438294448</v>
      </c>
      <c r="G6" s="97">
        <f>F6</f>
        <v>0.45307242438294448</v>
      </c>
    </row>
    <row r="7" spans="1:19">
      <c r="A7" s="55">
        <f t="shared" si="0"/>
        <v>4948559716</v>
      </c>
      <c r="B7" s="56">
        <v>70346</v>
      </c>
      <c r="C7" s="57">
        <v>58487</v>
      </c>
      <c r="E7" s="3" t="s">
        <v>4</v>
      </c>
      <c r="F7" s="3">
        <v>0.43973272741667491</v>
      </c>
    </row>
    <row r="8" spans="1:19">
      <c r="A8" s="55">
        <f t="shared" si="0"/>
        <v>6178903236</v>
      </c>
      <c r="B8" s="56">
        <v>78606</v>
      </c>
      <c r="C8" s="57">
        <v>64721</v>
      </c>
      <c r="E8" s="3" t="s">
        <v>5</v>
      </c>
      <c r="F8" s="3">
        <v>21896.039150934714</v>
      </c>
    </row>
    <row r="9" spans="1:19" ht="17" thickBot="1">
      <c r="A9" s="55">
        <f t="shared" si="0"/>
        <v>7633866384</v>
      </c>
      <c r="B9" s="56">
        <v>87372</v>
      </c>
      <c r="C9" s="57">
        <v>61254</v>
      </c>
      <c r="E9" s="4" t="s">
        <v>6</v>
      </c>
      <c r="F9" s="4">
        <v>85</v>
      </c>
    </row>
    <row r="10" spans="1:19">
      <c r="A10" s="55">
        <f t="shared" si="0"/>
        <v>7380184464</v>
      </c>
      <c r="B10" s="56">
        <v>85908</v>
      </c>
      <c r="C10" s="57">
        <v>71493</v>
      </c>
    </row>
    <row r="11" spans="1:19" ht="17" thickBot="1">
      <c r="A11" s="55">
        <f t="shared" si="0"/>
        <v>5897779209</v>
      </c>
      <c r="B11" s="56">
        <v>76797</v>
      </c>
      <c r="C11" s="57">
        <v>63353</v>
      </c>
      <c r="E11" t="s">
        <v>7</v>
      </c>
    </row>
    <row r="12" spans="1:19">
      <c r="A12" s="55">
        <f t="shared" si="0"/>
        <v>7571610225</v>
      </c>
      <c r="B12" s="56">
        <v>87015</v>
      </c>
      <c r="C12" s="57">
        <v>78795</v>
      </c>
      <c r="E12" s="5"/>
      <c r="F12" s="5" t="s">
        <v>12</v>
      </c>
      <c r="G12" s="5" t="s">
        <v>13</v>
      </c>
      <c r="H12" s="5" t="s">
        <v>14</v>
      </c>
      <c r="I12" s="5" t="s">
        <v>15</v>
      </c>
      <c r="J12" s="5" t="s">
        <v>16</v>
      </c>
    </row>
    <row r="13" spans="1:19">
      <c r="A13" s="55">
        <f t="shared" si="0"/>
        <v>6906441025</v>
      </c>
      <c r="B13" s="56">
        <v>83105</v>
      </c>
      <c r="C13" s="57">
        <v>85190</v>
      </c>
      <c r="E13" s="3" t="s">
        <v>8</v>
      </c>
      <c r="F13" s="3">
        <v>2</v>
      </c>
      <c r="G13" s="3">
        <v>32567377169.107277</v>
      </c>
      <c r="H13" s="3">
        <v>16283688584.553638</v>
      </c>
      <c r="I13" s="3">
        <v>33.964221640759135</v>
      </c>
      <c r="J13" s="120">
        <v>1.7993790009647893E-11</v>
      </c>
      <c r="K13" s="217" t="s">
        <v>147</v>
      </c>
      <c r="L13" s="217"/>
      <c r="M13" s="217"/>
      <c r="S13" s="117"/>
    </row>
    <row r="14" spans="1:19">
      <c r="A14" s="55">
        <f t="shared" si="0"/>
        <v>5712941056</v>
      </c>
      <c r="B14" s="56">
        <v>75584</v>
      </c>
      <c r="C14" s="57">
        <v>49722</v>
      </c>
      <c r="E14" s="3" t="s">
        <v>9</v>
      </c>
      <c r="F14" s="3">
        <v>82</v>
      </c>
      <c r="G14" s="3">
        <v>39313795500.939796</v>
      </c>
      <c r="H14" s="3">
        <v>479436530.49926579</v>
      </c>
      <c r="I14" s="3"/>
      <c r="J14" s="3"/>
      <c r="K14" s="217"/>
      <c r="L14" s="217"/>
      <c r="M14" s="217"/>
    </row>
    <row r="15" spans="1:19" ht="17" thickBot="1">
      <c r="A15" s="55">
        <f t="shared" si="0"/>
        <v>6288807204</v>
      </c>
      <c r="B15" s="56">
        <v>79302</v>
      </c>
      <c r="C15" s="57">
        <v>87154</v>
      </c>
      <c r="E15" s="4" t="s">
        <v>10</v>
      </c>
      <c r="F15" s="4">
        <v>84</v>
      </c>
      <c r="G15" s="4">
        <v>71881172670.047073</v>
      </c>
      <c r="H15" s="4"/>
      <c r="I15" s="4"/>
      <c r="J15" s="4"/>
      <c r="K15" s="217"/>
      <c r="L15" s="217"/>
      <c r="M15" s="217"/>
    </row>
    <row r="16" spans="1:19" ht="17" thickBot="1">
      <c r="A16" s="55">
        <f t="shared" si="0"/>
        <v>5273373924</v>
      </c>
      <c r="B16" s="56">
        <v>72618</v>
      </c>
      <c r="C16" s="57">
        <v>46507</v>
      </c>
    </row>
    <row r="17" spans="1:13">
      <c r="A17" s="55">
        <f t="shared" si="0"/>
        <v>13087588801</v>
      </c>
      <c r="B17" s="56">
        <v>114401</v>
      </c>
      <c r="C17" s="57">
        <v>66608</v>
      </c>
      <c r="E17" s="5"/>
      <c r="F17" s="5" t="s">
        <v>17</v>
      </c>
      <c r="G17" s="5" t="s">
        <v>5</v>
      </c>
      <c r="H17" s="5" t="s">
        <v>18</v>
      </c>
      <c r="I17" s="5" t="s">
        <v>19</v>
      </c>
      <c r="J17" s="5" t="s">
        <v>20</v>
      </c>
      <c r="K17" s="5" t="s">
        <v>21</v>
      </c>
      <c r="L17" s="5" t="s">
        <v>22</v>
      </c>
      <c r="M17" s="5" t="s">
        <v>23</v>
      </c>
    </row>
    <row r="18" spans="1:13">
      <c r="A18" s="55">
        <f t="shared" si="0"/>
        <v>6438618081</v>
      </c>
      <c r="B18" s="56">
        <v>80241</v>
      </c>
      <c r="C18" s="57">
        <v>74197</v>
      </c>
      <c r="E18" s="3" t="s">
        <v>11</v>
      </c>
      <c r="F18" s="3">
        <v>5265.0265223230381</v>
      </c>
      <c r="G18" s="3">
        <v>12628.860039006244</v>
      </c>
      <c r="H18" s="3">
        <v>0.41690433705506008</v>
      </c>
      <c r="I18" s="3">
        <v>0.67783777356452912</v>
      </c>
      <c r="J18" s="3">
        <v>-19857.799108752559</v>
      </c>
      <c r="K18" s="3">
        <v>30387.852153398635</v>
      </c>
      <c r="L18" s="3">
        <v>-19857.799108752559</v>
      </c>
      <c r="M18" s="3">
        <v>30387.852153398635</v>
      </c>
    </row>
    <row r="19" spans="1:13">
      <c r="A19" s="55">
        <f t="shared" si="0"/>
        <v>15771089889</v>
      </c>
      <c r="B19" s="56">
        <v>125583</v>
      </c>
      <c r="C19" s="57">
        <v>132710</v>
      </c>
      <c r="E19" s="3" t="s">
        <v>137</v>
      </c>
      <c r="F19" s="3">
        <v>-1.4468773959344769E-6</v>
      </c>
      <c r="G19" s="3">
        <v>6.6450035023033129E-7</v>
      </c>
      <c r="H19" s="3">
        <v>-2.1773914723038978</v>
      </c>
      <c r="I19" s="3">
        <v>3.2325435566371873E-2</v>
      </c>
      <c r="J19" s="3">
        <v>-2.7687802738714254E-6</v>
      </c>
      <c r="K19" s="3">
        <v>-1.2497451799752853E-7</v>
      </c>
      <c r="L19" s="3">
        <v>-2.7687802738714254E-6</v>
      </c>
      <c r="M19" s="3">
        <v>-1.2497451799752853E-7</v>
      </c>
    </row>
    <row r="20" spans="1:13" ht="17" thickBot="1">
      <c r="A20" s="55">
        <f t="shared" si="0"/>
        <v>4535618409</v>
      </c>
      <c r="B20" s="56">
        <v>67347</v>
      </c>
      <c r="C20" s="57">
        <v>48488</v>
      </c>
      <c r="E20" s="4" t="s">
        <v>136</v>
      </c>
      <c r="F20" s="4">
        <v>0.92923862733153662</v>
      </c>
      <c r="G20" s="4">
        <v>0.19941195868160475</v>
      </c>
      <c r="H20" s="4">
        <v>4.6598941882679403</v>
      </c>
      <c r="I20" s="4">
        <v>1.2090421651700686E-5</v>
      </c>
      <c r="J20" s="4">
        <v>0.53254471741126919</v>
      </c>
      <c r="K20" s="4">
        <v>1.325932537251804</v>
      </c>
      <c r="L20" s="4">
        <v>0.53254471741126919</v>
      </c>
      <c r="M20" s="4">
        <v>1.325932537251804</v>
      </c>
    </row>
    <row r="21" spans="1:13" ht="17" thickBot="1">
      <c r="A21" s="55">
        <f t="shared" si="0"/>
        <v>7010880361</v>
      </c>
      <c r="B21" s="56">
        <v>83731</v>
      </c>
      <c r="C21" s="57">
        <v>78202</v>
      </c>
    </row>
    <row r="22" spans="1:13">
      <c r="A22" s="55">
        <f t="shared" si="0"/>
        <v>6916916224</v>
      </c>
      <c r="B22" s="56">
        <v>83168</v>
      </c>
      <c r="C22" s="57">
        <v>58255</v>
      </c>
      <c r="H22" s="208" t="s">
        <v>143</v>
      </c>
      <c r="I22" s="210"/>
      <c r="J22" s="211"/>
      <c r="K22" s="212"/>
    </row>
    <row r="23" spans="1:13" ht="17" thickBot="1">
      <c r="A23" s="55">
        <f t="shared" si="0"/>
        <v>5220496009</v>
      </c>
      <c r="B23" s="56">
        <v>72253</v>
      </c>
      <c r="C23" s="57">
        <v>56898</v>
      </c>
      <c r="H23" s="209"/>
      <c r="I23" s="213"/>
      <c r="J23" s="214"/>
      <c r="K23" s="215"/>
    </row>
    <row r="24" spans="1:13">
      <c r="A24" s="55">
        <f t="shared" si="0"/>
        <v>34079744449</v>
      </c>
      <c r="B24" s="56">
        <v>184607</v>
      </c>
      <c r="C24" s="57">
        <v>70410</v>
      </c>
      <c r="E24" t="s">
        <v>25</v>
      </c>
      <c r="H24" s="119" t="s">
        <v>146</v>
      </c>
      <c r="I24" s="216" t="str">
        <f>TEXT(F19, "0,0000000000000")</f>
        <v>-0,0000014468774</v>
      </c>
      <c r="J24" s="216"/>
      <c r="K24" s="118"/>
    </row>
    <row r="25" spans="1:13" ht="17" thickBot="1">
      <c r="A25" s="55">
        <f t="shared" si="0"/>
        <v>11728240209</v>
      </c>
      <c r="B25" s="56">
        <v>108297</v>
      </c>
      <c r="C25" s="57">
        <v>95026</v>
      </c>
      <c r="I25" s="107"/>
    </row>
    <row r="26" spans="1:13">
      <c r="A26" s="55">
        <f t="shared" si="0"/>
        <v>3170365636</v>
      </c>
      <c r="B26" s="56">
        <v>56306</v>
      </c>
      <c r="C26" s="57">
        <v>63209</v>
      </c>
      <c r="E26" s="5" t="s">
        <v>26</v>
      </c>
      <c r="F26" s="5" t="s">
        <v>27</v>
      </c>
      <c r="G26" s="5" t="s">
        <v>28</v>
      </c>
      <c r="H26" s="123" t="s">
        <v>149</v>
      </c>
    </row>
    <row r="27" spans="1:13">
      <c r="A27" s="55">
        <f t="shared" si="0"/>
        <v>5028369921</v>
      </c>
      <c r="B27" s="56">
        <v>70911</v>
      </c>
      <c r="C27" s="57">
        <v>65127</v>
      </c>
      <c r="E27" s="3">
        <v>1</v>
      </c>
      <c r="F27" s="108">
        <v>68343.089130976063</v>
      </c>
      <c r="G27" s="3">
        <v>-13063.089130976063</v>
      </c>
      <c r="H27">
        <f>ABS((C2-F27)/C2)*100</f>
        <v>23.630769050246133</v>
      </c>
    </row>
    <row r="28" spans="1:13">
      <c r="A28" s="55">
        <f t="shared" si="0"/>
        <v>6315321961</v>
      </c>
      <c r="B28" s="56">
        <v>79469</v>
      </c>
      <c r="C28" s="57">
        <v>82026</v>
      </c>
      <c r="E28" s="3">
        <v>2</v>
      </c>
      <c r="F28" s="108">
        <v>77472.123314996483</v>
      </c>
      <c r="G28" s="3">
        <v>9567.8766850035172</v>
      </c>
      <c r="H28">
        <f t="shared" ref="H28:H91" si="1">ABS((C3-F28)/C3)*100</f>
        <v>10.992505382586762</v>
      </c>
    </row>
    <row r="29" spans="1:13">
      <c r="A29" s="55">
        <f t="shared" si="0"/>
        <v>8614624225</v>
      </c>
      <c r="B29" s="56">
        <v>92815</v>
      </c>
      <c r="C29" s="57">
        <v>67750</v>
      </c>
      <c r="E29" s="3">
        <v>3</v>
      </c>
      <c r="F29" s="108">
        <v>88157.378667227735</v>
      </c>
      <c r="G29" s="3">
        <v>-1753.3786672277347</v>
      </c>
      <c r="H29">
        <f t="shared" si="1"/>
        <v>2.0292795093140765</v>
      </c>
    </row>
    <row r="30" spans="1:13">
      <c r="A30" s="55">
        <f t="shared" si="0"/>
        <v>17038080900</v>
      </c>
      <c r="B30" s="56">
        <v>130530</v>
      </c>
      <c r="C30" s="57">
        <v>156881</v>
      </c>
      <c r="E30" s="3">
        <v>4</v>
      </c>
      <c r="F30" s="108">
        <v>55333.217429274235</v>
      </c>
      <c r="G30" s="3">
        <v>7217.7825707257653</v>
      </c>
      <c r="H30">
        <f t="shared" si="1"/>
        <v>11.539036259573413</v>
      </c>
    </row>
    <row r="31" spans="1:13">
      <c r="A31" s="55">
        <f t="shared" si="0"/>
        <v>12229484569</v>
      </c>
      <c r="B31" s="56">
        <v>110587</v>
      </c>
      <c r="C31" s="57">
        <v>99205</v>
      </c>
      <c r="E31" s="3">
        <v>5</v>
      </c>
      <c r="F31" s="108">
        <v>72806.962609018461</v>
      </c>
      <c r="G31" s="3">
        <v>-6984.9626090184611</v>
      </c>
      <c r="H31">
        <f t="shared" si="1"/>
        <v>10.611896644007263</v>
      </c>
    </row>
    <row r="32" spans="1:13">
      <c r="A32" s="55">
        <f t="shared" si="0"/>
        <v>19785516921</v>
      </c>
      <c r="B32" s="56">
        <v>140661</v>
      </c>
      <c r="C32" s="57">
        <v>114277</v>
      </c>
      <c r="E32" s="3">
        <v>6</v>
      </c>
      <c r="F32" s="108">
        <v>63473.287805074979</v>
      </c>
      <c r="G32" s="3">
        <v>-4986.2878050749787</v>
      </c>
      <c r="H32">
        <f t="shared" si="1"/>
        <v>8.5254634449962872</v>
      </c>
    </row>
    <row r="33" spans="1:8">
      <c r="A33" s="55">
        <f t="shared" si="0"/>
        <v>9032411521</v>
      </c>
      <c r="B33" s="56">
        <v>95039</v>
      </c>
      <c r="C33" s="57">
        <v>135206</v>
      </c>
      <c r="E33" s="3">
        <v>7</v>
      </c>
      <c r="F33" s="108">
        <v>69368.64263851101</v>
      </c>
      <c r="G33" s="3">
        <v>-4647.6426385110099</v>
      </c>
      <c r="H33">
        <f t="shared" si="1"/>
        <v>7.1810426886343066</v>
      </c>
    </row>
    <row r="34" spans="1:8">
      <c r="A34" s="55">
        <f t="shared" si="0"/>
        <v>11117593600</v>
      </c>
      <c r="B34" s="56">
        <v>105440</v>
      </c>
      <c r="C34" s="57">
        <v>69546</v>
      </c>
      <c r="E34" s="3">
        <v>8</v>
      </c>
      <c r="F34" s="108">
        <v>75409.195154940389</v>
      </c>
      <c r="G34" s="3">
        <v>-14155.195154940389</v>
      </c>
      <c r="H34">
        <f t="shared" si="1"/>
        <v>23.109013541875452</v>
      </c>
    </row>
    <row r="35" spans="1:8">
      <c r="A35" s="55">
        <f t="shared" si="0"/>
        <v>6410564356</v>
      </c>
      <c r="B35" s="56">
        <v>80066</v>
      </c>
      <c r="C35" s="57">
        <v>62975</v>
      </c>
      <c r="E35" s="3">
        <v>9</v>
      </c>
      <c r="F35" s="108">
        <v>74415.836440332292</v>
      </c>
      <c r="G35" s="3">
        <v>-2922.8364403322921</v>
      </c>
      <c r="H35">
        <f t="shared" si="1"/>
        <v>4.0882833848520725</v>
      </c>
    </row>
    <row r="36" spans="1:8">
      <c r="A36" s="55">
        <f t="shared" si="0"/>
        <v>12901552225</v>
      </c>
      <c r="B36" s="56">
        <v>113585</v>
      </c>
      <c r="C36" s="57">
        <v>76770</v>
      </c>
      <c r="E36" s="3">
        <v>10</v>
      </c>
      <c r="F36" s="108">
        <v>68094.401961788637</v>
      </c>
      <c r="G36" s="3">
        <v>-4741.401961788637</v>
      </c>
      <c r="H36">
        <f t="shared" si="1"/>
        <v>7.4841001401490654</v>
      </c>
    </row>
    <row r="37" spans="1:8">
      <c r="A37" s="55">
        <f t="shared" si="0"/>
        <v>8518736209</v>
      </c>
      <c r="B37" s="56">
        <v>92297</v>
      </c>
      <c r="C37" s="57">
        <v>65404</v>
      </c>
      <c r="E37" s="3">
        <v>11</v>
      </c>
      <c r="F37" s="108">
        <v>75167.533994197845</v>
      </c>
      <c r="G37" s="3">
        <v>3627.4660058021545</v>
      </c>
      <c r="H37">
        <f t="shared" si="1"/>
        <v>4.6036753674752902</v>
      </c>
    </row>
    <row r="38" spans="1:8">
      <c r="A38" s="55">
        <f t="shared" si="0"/>
        <v>5538187561</v>
      </c>
      <c r="B38" s="56">
        <v>74419</v>
      </c>
      <c r="C38" s="57">
        <v>64059</v>
      </c>
      <c r="E38" s="3">
        <v>12</v>
      </c>
      <c r="F38" s="108">
        <v>72496.629241283343</v>
      </c>
      <c r="G38" s="3">
        <v>12693.370758716657</v>
      </c>
      <c r="H38">
        <f t="shared" si="1"/>
        <v>14.900071321418778</v>
      </c>
    </row>
    <row r="39" spans="1:8">
      <c r="A39" s="55">
        <f t="shared" si="0"/>
        <v>6011521156</v>
      </c>
      <c r="B39" s="56">
        <v>77534</v>
      </c>
      <c r="C39" s="57">
        <v>56134</v>
      </c>
      <c r="E39" s="3">
        <v>13</v>
      </c>
      <c r="F39" s="108">
        <v>67234.673652317462</v>
      </c>
      <c r="G39" s="3">
        <v>-17512.673652317462</v>
      </c>
      <c r="H39">
        <f t="shared" si="1"/>
        <v>35.221177049027517</v>
      </c>
    </row>
    <row r="40" spans="1:8">
      <c r="A40" s="55">
        <f t="shared" si="0"/>
        <v>5823979225</v>
      </c>
      <c r="B40" s="56">
        <v>76315</v>
      </c>
      <c r="C40" s="57">
        <v>57468</v>
      </c>
      <c r="E40" s="3">
        <v>14</v>
      </c>
      <c r="F40" s="108">
        <v>69856.375156111055</v>
      </c>
      <c r="G40" s="3">
        <v>17297.624843888945</v>
      </c>
      <c r="H40">
        <f t="shared" si="1"/>
        <v>19.847195589289012</v>
      </c>
    </row>
    <row r="41" spans="1:8">
      <c r="A41" s="55">
        <f t="shared" si="0"/>
        <v>11598213025</v>
      </c>
      <c r="B41" s="56">
        <v>107695</v>
      </c>
      <c r="C41" s="57">
        <v>74845</v>
      </c>
      <c r="E41" s="3">
        <v>15</v>
      </c>
      <c r="F41" s="108">
        <v>65114.551630938673</v>
      </c>
      <c r="G41" s="3">
        <v>-18607.551630938673</v>
      </c>
      <c r="H41">
        <f t="shared" si="1"/>
        <v>40.010217023111949</v>
      </c>
    </row>
    <row r="42" spans="1:8">
      <c r="A42" s="55">
        <f t="shared" si="0"/>
        <v>18084332484</v>
      </c>
      <c r="B42" s="56">
        <v>134478</v>
      </c>
      <c r="C42" s="57">
        <v>88920</v>
      </c>
      <c r="E42" s="3">
        <v>16</v>
      </c>
      <c r="F42" s="108">
        <v>92634.718324226065</v>
      </c>
      <c r="G42" s="3">
        <v>-26026.718324226065</v>
      </c>
      <c r="H42">
        <f t="shared" si="1"/>
        <v>39.074463013791231</v>
      </c>
    </row>
    <row r="43" spans="1:8">
      <c r="A43" s="55">
        <f t="shared" si="0"/>
        <v>4976597025</v>
      </c>
      <c r="B43" s="56">
        <v>70545</v>
      </c>
      <c r="C43" s="57">
        <v>54986</v>
      </c>
      <c r="E43" s="3">
        <v>17</v>
      </c>
      <c r="F43" s="108">
        <v>70512.172255578946</v>
      </c>
      <c r="G43" s="3">
        <v>3684.8277444210544</v>
      </c>
      <c r="H43">
        <f t="shared" si="1"/>
        <v>4.9662759200790525</v>
      </c>
    </row>
    <row r="44" spans="1:8">
      <c r="A44" s="55">
        <f t="shared" si="0"/>
        <v>3813062500</v>
      </c>
      <c r="B44" s="56">
        <v>61750</v>
      </c>
      <c r="C44" s="57">
        <v>56301</v>
      </c>
      <c r="E44" s="3">
        <v>18</v>
      </c>
      <c r="F44" s="108">
        <v>99142.767588854535</v>
      </c>
      <c r="G44" s="3">
        <v>33567.232411145465</v>
      </c>
      <c r="H44">
        <f t="shared" si="1"/>
        <v>25.293672226015723</v>
      </c>
    </row>
    <row r="45" spans="1:8">
      <c r="A45" s="55">
        <f t="shared" si="0"/>
        <v>7100084644</v>
      </c>
      <c r="B45" s="56">
        <v>84262</v>
      </c>
      <c r="C45" s="57">
        <v>63529</v>
      </c>
      <c r="E45" s="3">
        <v>19</v>
      </c>
      <c r="F45" s="108">
        <v>61283.976604653639</v>
      </c>
      <c r="G45" s="3">
        <v>-12795.976604653639</v>
      </c>
      <c r="H45">
        <f t="shared" si="1"/>
        <v>26.389986397982263</v>
      </c>
    </row>
    <row r="46" spans="1:8">
      <c r="A46" s="55">
        <f t="shared" si="0"/>
        <v>8220504889</v>
      </c>
      <c r="B46" s="56">
        <v>90667</v>
      </c>
      <c r="C46" s="57">
        <v>67579</v>
      </c>
      <c r="E46" s="3">
        <v>20</v>
      </c>
      <c r="F46" s="108">
        <v>72927.221707488075</v>
      </c>
      <c r="G46" s="3">
        <v>5274.7782925119245</v>
      </c>
      <c r="H46">
        <f t="shared" si="1"/>
        <v>6.7450682751233018</v>
      </c>
    </row>
    <row r="47" spans="1:8">
      <c r="A47" s="55">
        <f t="shared" si="0"/>
        <v>5407543296</v>
      </c>
      <c r="B47" s="56">
        <v>73536</v>
      </c>
      <c r="C47" s="57">
        <v>72926</v>
      </c>
      <c r="E47" s="3">
        <v>21</v>
      </c>
      <c r="F47" s="108">
        <v>72540.014946154217</v>
      </c>
      <c r="G47" s="3">
        <v>-14285.014946154217</v>
      </c>
      <c r="H47">
        <f t="shared" si="1"/>
        <v>24.521525956834978</v>
      </c>
    </row>
    <row r="48" spans="1:8">
      <c r="A48" s="55">
        <f t="shared" si="0"/>
        <v>4108810000</v>
      </c>
      <c r="B48" s="56">
        <v>64100</v>
      </c>
      <c r="C48" s="57">
        <v>44639</v>
      </c>
      <c r="E48" s="3">
        <v>22</v>
      </c>
      <c r="F48" s="108">
        <v>64851.887391920296</v>
      </c>
      <c r="G48" s="3">
        <v>-7953.8873919202961</v>
      </c>
      <c r="H48">
        <f t="shared" si="1"/>
        <v>13.979203824247419</v>
      </c>
    </row>
    <row r="49" spans="1:8">
      <c r="A49" s="55">
        <f t="shared" si="0"/>
        <v>615833856</v>
      </c>
      <c r="B49" s="56">
        <v>24816</v>
      </c>
      <c r="C49" s="57">
        <v>40588</v>
      </c>
      <c r="E49" s="3">
        <v>23</v>
      </c>
      <c r="F49" s="108">
        <v>127499.76989563444</v>
      </c>
      <c r="G49" s="3">
        <v>-57089.769895634439</v>
      </c>
      <c r="H49">
        <f t="shared" si="1"/>
        <v>81.081905831038824</v>
      </c>
    </row>
    <row r="50" spans="1:8">
      <c r="A50" s="55">
        <f t="shared" si="0"/>
        <v>1613307556</v>
      </c>
      <c r="B50" s="56">
        <v>40166</v>
      </c>
      <c r="C50" s="57">
        <v>49162</v>
      </c>
      <c r="E50" s="3">
        <v>24</v>
      </c>
      <c r="F50" s="108">
        <v>88929.456493954523</v>
      </c>
      <c r="G50" s="3">
        <v>6096.5435060454765</v>
      </c>
      <c r="H50">
        <f t="shared" si="1"/>
        <v>6.4156583524987649</v>
      </c>
    </row>
    <row r="51" spans="1:8">
      <c r="A51" s="55">
        <f t="shared" si="0"/>
        <v>14465594529</v>
      </c>
      <c r="B51" s="56">
        <v>120273</v>
      </c>
      <c r="C51" s="57">
        <v>74210</v>
      </c>
      <c r="E51" s="3">
        <v>25</v>
      </c>
      <c r="F51" s="108">
        <v>52999.606297276703</v>
      </c>
      <c r="G51" s="3">
        <v>10209.393702723297</v>
      </c>
      <c r="H51">
        <f t="shared" si="1"/>
        <v>16.151803861354075</v>
      </c>
    </row>
    <row r="52" spans="1:8">
      <c r="A52" s="55">
        <f t="shared" si="0"/>
        <v>9294309649</v>
      </c>
      <c r="B52" s="56">
        <v>96407</v>
      </c>
      <c r="C52" s="57">
        <v>88854</v>
      </c>
      <c r="E52" s="3">
        <v>26</v>
      </c>
      <c r="F52" s="108">
        <v>63882.832047937896</v>
      </c>
      <c r="G52" s="3">
        <v>1244.1679520621037</v>
      </c>
      <c r="H52">
        <f t="shared" si="1"/>
        <v>1.9103719687105252</v>
      </c>
    </row>
    <row r="53" spans="1:8">
      <c r="A53" s="55">
        <f t="shared" si="0"/>
        <v>7996294084</v>
      </c>
      <c r="B53" s="56">
        <v>89422</v>
      </c>
      <c r="C53" s="57">
        <v>55310</v>
      </c>
      <c r="E53" s="3">
        <v>27</v>
      </c>
      <c r="F53" s="108">
        <v>69973.194404313428</v>
      </c>
      <c r="G53" s="3">
        <v>12052.805595686572</v>
      </c>
      <c r="H53">
        <f t="shared" si="1"/>
        <v>14.693884372865398</v>
      </c>
    </row>
    <row r="54" spans="1:8">
      <c r="A54" s="55">
        <f t="shared" si="0"/>
        <v>2734662436</v>
      </c>
      <c r="B54" s="56">
        <v>52294</v>
      </c>
      <c r="C54" s="57">
        <v>60998</v>
      </c>
      <c r="E54" s="3">
        <v>28</v>
      </c>
      <c r="F54" s="108">
        <v>79048.004652477553</v>
      </c>
      <c r="G54" s="3">
        <v>-11298.004652477553</v>
      </c>
      <c r="H54">
        <f t="shared" si="1"/>
        <v>16.676021627273141</v>
      </c>
    </row>
    <row r="55" spans="1:8">
      <c r="A55" s="55">
        <f t="shared" si="0"/>
        <v>2717119876</v>
      </c>
      <c r="B55" s="56">
        <v>52126</v>
      </c>
      <c r="C55" s="57">
        <v>57133</v>
      </c>
      <c r="E55" s="3">
        <v>29</v>
      </c>
      <c r="F55" s="108">
        <v>101906.53042359557</v>
      </c>
      <c r="G55" s="3">
        <v>54974.46957640443</v>
      </c>
      <c r="H55">
        <f t="shared" si="1"/>
        <v>35.042146325179232</v>
      </c>
    </row>
    <row r="56" spans="1:8">
      <c r="A56" s="55">
        <f t="shared" si="0"/>
        <v>14131741129</v>
      </c>
      <c r="B56" s="56">
        <v>118877</v>
      </c>
      <c r="C56" s="57">
        <v>126868</v>
      </c>
      <c r="E56" s="3">
        <v>30</v>
      </c>
      <c r="F56" s="108">
        <v>90332.173816220078</v>
      </c>
      <c r="G56" s="3">
        <v>8872.8261837799218</v>
      </c>
      <c r="H56">
        <f t="shared" si="1"/>
        <v>8.9439304307040182</v>
      </c>
    </row>
    <row r="57" spans="1:8">
      <c r="A57" s="55">
        <f t="shared" si="0"/>
        <v>3435132100</v>
      </c>
      <c r="B57" s="56">
        <v>58610</v>
      </c>
      <c r="C57" s="57">
        <v>48163</v>
      </c>
      <c r="E57" s="3">
        <v>31</v>
      </c>
      <c r="F57" s="108">
        <v>107345.4438815303</v>
      </c>
      <c r="G57" s="3">
        <v>6931.5561184696999</v>
      </c>
      <c r="H57">
        <f t="shared" si="1"/>
        <v>6.0655741036863935</v>
      </c>
    </row>
    <row r="58" spans="1:8">
      <c r="A58" s="55">
        <f t="shared" si="0"/>
        <v>13010824225</v>
      </c>
      <c r="B58" s="56">
        <v>114065</v>
      </c>
      <c r="C58" s="57">
        <v>75764</v>
      </c>
      <c r="E58" s="3">
        <v>32</v>
      </c>
      <c r="F58" s="108">
        <v>80510.144364771899</v>
      </c>
      <c r="G58" s="3">
        <v>54695.855635228101</v>
      </c>
      <c r="H58">
        <f t="shared" si="1"/>
        <v>40.453719239699495</v>
      </c>
    </row>
    <row r="59" spans="1:8">
      <c r="A59" s="55">
        <f t="shared" si="0"/>
        <v>3408574689</v>
      </c>
      <c r="B59" s="56">
        <v>58383</v>
      </c>
      <c r="C59" s="57">
        <v>67541</v>
      </c>
      <c r="E59" s="3">
        <v>33</v>
      </c>
      <c r="F59" s="108">
        <v>87158.152511134453</v>
      </c>
      <c r="G59" s="3">
        <v>-17612.152511134453</v>
      </c>
      <c r="H59">
        <f t="shared" si="1"/>
        <v>25.324465118244692</v>
      </c>
    </row>
    <row r="60" spans="1:8">
      <c r="A60" s="55">
        <f t="shared" si="0"/>
        <v>4185831204</v>
      </c>
      <c r="B60" s="56">
        <v>64698</v>
      </c>
      <c r="C60" s="57">
        <v>71616</v>
      </c>
      <c r="E60" s="3">
        <v>34</v>
      </c>
      <c r="F60" s="108">
        <v>70390.145796370198</v>
      </c>
      <c r="G60" s="3">
        <v>-7415.1457963701978</v>
      </c>
      <c r="H60">
        <f t="shared" si="1"/>
        <v>11.774745210591817</v>
      </c>
    </row>
    <row r="61" spans="1:8">
      <c r="A61" s="55">
        <f t="shared" si="0"/>
        <v>11387664369</v>
      </c>
      <c r="B61" s="56">
        <v>106713</v>
      </c>
      <c r="C61" s="57">
        <v>62482</v>
      </c>
      <c r="E61" s="3">
        <v>35</v>
      </c>
      <c r="F61" s="108">
        <v>92145.631720954974</v>
      </c>
      <c r="G61" s="3">
        <v>-15375.631720954974</v>
      </c>
      <c r="H61">
        <f t="shared" si="1"/>
        <v>20.028177310088545</v>
      </c>
    </row>
    <row r="62" spans="1:8">
      <c r="A62" s="55">
        <f t="shared" si="0"/>
        <v>5641812544</v>
      </c>
      <c r="B62" s="56">
        <v>75112</v>
      </c>
      <c r="C62" s="57">
        <v>64455</v>
      </c>
      <c r="E62" s="3">
        <v>36</v>
      </c>
      <c r="F62" s="108">
        <v>78705.397246411216</v>
      </c>
      <c r="G62" s="3">
        <v>-13301.397246411216</v>
      </c>
      <c r="H62">
        <f t="shared" si="1"/>
        <v>20.337284029128519</v>
      </c>
    </row>
    <row r="63" spans="1:8">
      <c r="A63" s="55">
        <f t="shared" si="0"/>
        <v>7583100561</v>
      </c>
      <c r="B63" s="56">
        <v>87081</v>
      </c>
      <c r="C63" s="57">
        <v>70393</v>
      </c>
      <c r="E63" s="3">
        <v>37</v>
      </c>
      <c r="F63" s="108">
        <v>66404.957533252265</v>
      </c>
      <c r="G63" s="3">
        <v>-2345.9575332522654</v>
      </c>
      <c r="H63">
        <f t="shared" si="1"/>
        <v>3.6621825711488873</v>
      </c>
    </row>
    <row r="64" spans="1:8">
      <c r="A64" s="55">
        <f t="shared" si="0"/>
        <v>4306509376</v>
      </c>
      <c r="B64" s="56">
        <v>65624</v>
      </c>
      <c r="C64" s="57">
        <v>58626</v>
      </c>
      <c r="E64" s="3">
        <v>38</v>
      </c>
      <c r="F64" s="108">
        <v>68614.680178048104</v>
      </c>
      <c r="G64" s="3">
        <v>-12480.680178048104</v>
      </c>
      <c r="H64">
        <f t="shared" si="1"/>
        <v>22.233726757487627</v>
      </c>
    </row>
    <row r="65" spans="1:8">
      <c r="A65" s="55">
        <f t="shared" si="0"/>
        <v>17954392036</v>
      </c>
      <c r="B65" s="56">
        <v>133994</v>
      </c>
      <c r="C65" s="57">
        <v>130360</v>
      </c>
      <c r="E65" s="3">
        <v>39</v>
      </c>
      <c r="F65" s="108">
        <v>67753.288472084765</v>
      </c>
      <c r="G65" s="3">
        <v>-10285.288472084765</v>
      </c>
      <c r="H65">
        <f t="shared" si="1"/>
        <v>17.897418514799131</v>
      </c>
    </row>
    <row r="66" spans="1:8">
      <c r="A66" s="55">
        <f t="shared" si="0"/>
        <v>25210770841</v>
      </c>
      <c r="B66" s="56">
        <v>158779</v>
      </c>
      <c r="C66" s="57">
        <v>79079</v>
      </c>
      <c r="E66" s="3">
        <v>40</v>
      </c>
      <c r="F66" s="108">
        <v>88558.188233687542</v>
      </c>
      <c r="G66" s="3">
        <v>-13713.188233687542</v>
      </c>
      <c r="H66">
        <f t="shared" si="1"/>
        <v>18.322116686067929</v>
      </c>
    </row>
    <row r="67" spans="1:8">
      <c r="A67" s="55">
        <f t="shared" ref="A67:A86" si="2">B67*B67</f>
        <v>3599520016</v>
      </c>
      <c r="B67" s="56">
        <v>59996</v>
      </c>
      <c r="C67" s="57">
        <v>60415</v>
      </c>
      <c r="E67" s="3">
        <v>41</v>
      </c>
      <c r="F67" s="108">
        <v>104061.36675695023</v>
      </c>
      <c r="G67" s="3">
        <v>-15141.366756950229</v>
      </c>
      <c r="H67">
        <f t="shared" si="1"/>
        <v>17.028077774347985</v>
      </c>
    </row>
    <row r="68" spans="1:8">
      <c r="A68" s="55">
        <f t="shared" si="2"/>
        <v>8103600400</v>
      </c>
      <c r="B68" s="56">
        <v>90020</v>
      </c>
      <c r="C68" s="57">
        <v>57183</v>
      </c>
      <c r="E68" s="3">
        <v>42</v>
      </c>
      <c r="F68" s="108">
        <v>63617.639743279025</v>
      </c>
      <c r="G68" s="3">
        <v>-8631.6397432790254</v>
      </c>
      <c r="H68">
        <f t="shared" si="1"/>
        <v>15.697886267920971</v>
      </c>
    </row>
    <row r="69" spans="1:8">
      <c r="A69" s="55">
        <f t="shared" si="2"/>
        <v>5555913444</v>
      </c>
      <c r="B69" s="56">
        <v>74538</v>
      </c>
      <c r="C69" s="57">
        <v>55168</v>
      </c>
      <c r="E69" s="3">
        <v>43</v>
      </c>
      <c r="F69" s="108">
        <v>57128.477819510023</v>
      </c>
      <c r="G69" s="3">
        <v>-827.47781951002253</v>
      </c>
      <c r="H69">
        <f t="shared" si="1"/>
        <v>1.4697391156640602</v>
      </c>
    </row>
    <row r="70" spans="1:8">
      <c r="A70" s="55">
        <f t="shared" si="2"/>
        <v>5809183524</v>
      </c>
      <c r="B70" s="56">
        <v>76218</v>
      </c>
      <c r="C70" s="57">
        <v>64706</v>
      </c>
      <c r="E70" s="3">
        <v>44</v>
      </c>
      <c r="F70" s="108">
        <v>73291.579757907894</v>
      </c>
      <c r="G70" s="3">
        <v>-9762.5797579078935</v>
      </c>
      <c r="H70">
        <f t="shared" si="1"/>
        <v>15.367123294728223</v>
      </c>
    </row>
    <row r="71" spans="1:8">
      <c r="A71" s="55">
        <f t="shared" si="2"/>
        <v>5015189124</v>
      </c>
      <c r="B71" s="56">
        <v>70818</v>
      </c>
      <c r="C71" s="57">
        <v>78524</v>
      </c>
      <c r="E71" s="3">
        <v>45</v>
      </c>
      <c r="F71" s="108">
        <v>77622.242439528505</v>
      </c>
      <c r="G71" s="3">
        <v>-10043.242439528505</v>
      </c>
      <c r="H71">
        <f t="shared" si="1"/>
        <v>14.861484247367532</v>
      </c>
    </row>
    <row r="72" spans="1:8">
      <c r="A72" s="55">
        <f t="shared" si="2"/>
        <v>6260765625</v>
      </c>
      <c r="B72" s="56">
        <v>79125</v>
      </c>
      <c r="C72" s="57">
        <v>73868</v>
      </c>
      <c r="E72" s="3">
        <v>46</v>
      </c>
      <c r="F72" s="108">
        <v>65773.466059255486</v>
      </c>
      <c r="G72" s="3">
        <v>7152.5339407445135</v>
      </c>
      <c r="H72">
        <f t="shared" si="1"/>
        <v>9.8079339888990393</v>
      </c>
    </row>
    <row r="73" spans="1:8">
      <c r="A73" s="55">
        <f t="shared" si="2"/>
        <v>14170759681</v>
      </c>
      <c r="B73" s="56">
        <v>119041</v>
      </c>
      <c r="C73" s="57">
        <v>121907</v>
      </c>
      <c r="E73" s="3">
        <v>47</v>
      </c>
      <c r="F73" s="108">
        <v>58884.278221084998</v>
      </c>
      <c r="G73" s="3">
        <v>-14245.278221084998</v>
      </c>
      <c r="H73">
        <f t="shared" si="1"/>
        <v>31.91218042761934</v>
      </c>
    </row>
    <row r="74" spans="1:8">
      <c r="A74" s="55">
        <f t="shared" si="2"/>
        <v>7246946641</v>
      </c>
      <c r="B74" s="56">
        <v>85129</v>
      </c>
      <c r="C74" s="57">
        <v>67561</v>
      </c>
      <c r="E74" s="3">
        <v>48</v>
      </c>
      <c r="F74" s="108">
        <v>27433.976212284884</v>
      </c>
      <c r="G74" s="3">
        <v>13154.023787715116</v>
      </c>
      <c r="H74">
        <f t="shared" si="1"/>
        <v>32.408652280760606</v>
      </c>
    </row>
    <row r="75" spans="1:8">
      <c r="A75" s="55">
        <f t="shared" si="2"/>
        <v>6103203129</v>
      </c>
      <c r="B75" s="56">
        <v>78123</v>
      </c>
      <c r="C75" s="57">
        <v>59743</v>
      </c>
      <c r="E75" s="3">
        <v>49</v>
      </c>
      <c r="F75" s="108">
        <v>40254.56699225484</v>
      </c>
      <c r="G75" s="3">
        <v>8907.4330077451596</v>
      </c>
      <c r="H75">
        <f t="shared" si="1"/>
        <v>18.118532622239044</v>
      </c>
    </row>
    <row r="76" spans="1:8">
      <c r="A76" s="55">
        <f t="shared" si="2"/>
        <v>18447344041</v>
      </c>
      <c r="B76" s="56">
        <v>135821</v>
      </c>
      <c r="C76" s="57">
        <v>90296</v>
      </c>
      <c r="E76" s="3">
        <v>50</v>
      </c>
      <c r="F76" s="108">
        <v>96097.402204605401</v>
      </c>
      <c r="G76" s="3">
        <v>-21887.402204605401</v>
      </c>
      <c r="H76">
        <f t="shared" si="1"/>
        <v>29.493871721608141</v>
      </c>
    </row>
    <row r="77" spans="1:8">
      <c r="A77" s="55">
        <f t="shared" si="2"/>
        <v>12658950144</v>
      </c>
      <c r="B77" s="56">
        <v>112512</v>
      </c>
      <c r="C77" s="57">
        <v>124744</v>
      </c>
      <c r="E77" s="3">
        <v>51</v>
      </c>
      <c r="F77" s="108">
        <v>81402.408325520693</v>
      </c>
      <c r="G77" s="3">
        <v>7451.5916744793067</v>
      </c>
      <c r="H77">
        <f t="shared" si="1"/>
        <v>8.3863322692048818</v>
      </c>
    </row>
    <row r="78" spans="1:8">
      <c r="A78" s="55">
        <f t="shared" si="2"/>
        <v>8238466756</v>
      </c>
      <c r="B78" s="56">
        <v>90766</v>
      </c>
      <c r="C78" s="57">
        <v>70946</v>
      </c>
      <c r="E78" s="3">
        <v>52</v>
      </c>
      <c r="F78" s="108">
        <v>76789.745894179519</v>
      </c>
      <c r="G78" s="3">
        <v>-21479.745894179519</v>
      </c>
      <c r="H78">
        <f t="shared" si="1"/>
        <v>38.835194167744561</v>
      </c>
    </row>
    <row r="79" spans="1:8">
      <c r="A79" s="55">
        <f t="shared" si="2"/>
        <v>3255501249</v>
      </c>
      <c r="B79" s="56">
        <v>57057</v>
      </c>
      <c r="C79" s="57">
        <v>41840</v>
      </c>
      <c r="E79" s="3">
        <v>53</v>
      </c>
      <c r="F79" s="108">
        <v>49901.910035838904</v>
      </c>
      <c r="G79" s="3">
        <v>11096.089964161096</v>
      </c>
      <c r="H79">
        <f t="shared" si="1"/>
        <v>18.190907839865396</v>
      </c>
    </row>
    <row r="80" spans="1:8">
      <c r="A80" s="55">
        <f t="shared" si="2"/>
        <v>5319076624</v>
      </c>
      <c r="B80" s="56">
        <v>72932</v>
      </c>
      <c r="C80" s="57">
        <v>60844</v>
      </c>
      <c r="E80" s="3">
        <v>54</v>
      </c>
      <c r="F80" s="108">
        <v>49771.17987997803</v>
      </c>
      <c r="G80" s="3">
        <v>7361.8201200219701</v>
      </c>
      <c r="H80">
        <f t="shared" si="1"/>
        <v>12.8854079429086</v>
      </c>
    </row>
    <row r="81" spans="1:8">
      <c r="A81" s="55">
        <f t="shared" si="2"/>
        <v>11404958436</v>
      </c>
      <c r="B81" s="56">
        <v>106794</v>
      </c>
      <c r="C81" s="57">
        <v>188561</v>
      </c>
      <c r="E81" s="3">
        <v>55</v>
      </c>
      <c r="F81" s="108">
        <v>95283.230018866452</v>
      </c>
      <c r="G81" s="3">
        <v>31584.769981133548</v>
      </c>
      <c r="H81">
        <f t="shared" si="1"/>
        <v>24.895773545049618</v>
      </c>
    </row>
    <row r="82" spans="1:8">
      <c r="A82" s="55">
        <f t="shared" si="2"/>
        <v>18168613681</v>
      </c>
      <c r="B82" s="56">
        <v>134791</v>
      </c>
      <c r="C82" s="57">
        <v>163879</v>
      </c>
      <c r="E82" s="3">
        <v>56</v>
      </c>
      <c r="F82" s="108">
        <v>54757.487482685472</v>
      </c>
      <c r="G82" s="3">
        <v>-6594.4874826854721</v>
      </c>
      <c r="H82">
        <f t="shared" si="1"/>
        <v>13.692019771786375</v>
      </c>
    </row>
    <row r="83" spans="1:8">
      <c r="A83" s="55">
        <f t="shared" si="2"/>
        <v>7072137216</v>
      </c>
      <c r="B83" s="56">
        <v>84096</v>
      </c>
      <c r="C83" s="57">
        <v>66006</v>
      </c>
      <c r="E83" s="3">
        <v>57</v>
      </c>
      <c r="F83" s="108">
        <v>92433.563075265556</v>
      </c>
      <c r="G83" s="3">
        <v>-16669.563075265556</v>
      </c>
      <c r="H83">
        <f t="shared" si="1"/>
        <v>22.0019574933551</v>
      </c>
    </row>
    <row r="84" spans="1:8">
      <c r="A84" s="55">
        <f t="shared" si="2"/>
        <v>94290756624</v>
      </c>
      <c r="B84" s="56">
        <v>307068</v>
      </c>
      <c r="C84" s="57">
        <v>162572</v>
      </c>
      <c r="E84" s="3">
        <v>58</v>
      </c>
      <c r="F84" s="108">
        <v>54584.975631951645</v>
      </c>
      <c r="G84" s="3">
        <v>12956.024368048355</v>
      </c>
      <c r="H84">
        <f t="shared" si="1"/>
        <v>19.182458607436008</v>
      </c>
    </row>
    <row r="85" spans="1:8">
      <c r="A85" s="55">
        <f t="shared" si="2"/>
        <v>30329267409</v>
      </c>
      <c r="B85" s="56">
        <v>174153</v>
      </c>
      <c r="C85" s="57">
        <v>110473</v>
      </c>
      <c r="E85" s="3">
        <v>59</v>
      </c>
      <c r="F85" s="108">
        <v>59328.522681153998</v>
      </c>
      <c r="G85" s="3">
        <v>12287.477318846002</v>
      </c>
      <c r="H85">
        <f t="shared" si="1"/>
        <v>17.15744710518041</v>
      </c>
    </row>
    <row r="86" spans="1:8" ht="17" thickBot="1">
      <c r="A86" s="58">
        <f t="shared" si="2"/>
        <v>8882685504</v>
      </c>
      <c r="B86" s="59">
        <v>94248</v>
      </c>
      <c r="C86" s="60">
        <v>56942</v>
      </c>
      <c r="E86" s="3">
        <v>60</v>
      </c>
      <c r="F86" s="108">
        <v>87950.313992758762</v>
      </c>
      <c r="G86" s="3">
        <v>-25468.313992758762</v>
      </c>
      <c r="H86">
        <f t="shared" si="1"/>
        <v>40.761041568385714</v>
      </c>
    </row>
    <row r="87" spans="1:8">
      <c r="E87" s="3">
        <v>61</v>
      </c>
      <c r="F87" s="108">
        <v>66898.98725643623</v>
      </c>
      <c r="G87" s="3">
        <v>-2443.9872564362304</v>
      </c>
      <c r="H87">
        <f t="shared" si="1"/>
        <v>3.7917729523485071</v>
      </c>
    </row>
    <row r="88" spans="1:8">
      <c r="E88" s="3">
        <v>62</v>
      </c>
      <c r="F88" s="108">
        <v>75212.23863617162</v>
      </c>
      <c r="G88" s="3">
        <v>-4819.2386361716199</v>
      </c>
      <c r="H88">
        <f t="shared" si="1"/>
        <v>6.8461901555149236</v>
      </c>
    </row>
    <row r="89" spans="1:8">
      <c r="E89" s="3">
        <v>63</v>
      </c>
      <c r="F89" s="108">
        <v>60014.391130813507</v>
      </c>
      <c r="G89" s="3">
        <v>-1388.3911308135066</v>
      </c>
      <c r="H89">
        <f t="shared" si="1"/>
        <v>2.3682173964000728</v>
      </c>
    </row>
    <row r="90" spans="1:8">
      <c r="E90" s="3">
        <v>64</v>
      </c>
      <c r="F90" s="108">
        <v>103799.62315835056</v>
      </c>
      <c r="G90" s="3">
        <v>26560.376841649442</v>
      </c>
      <c r="H90">
        <f t="shared" si="1"/>
        <v>20.374637037165879</v>
      </c>
    </row>
    <row r="91" spans="1:8">
      <c r="E91" s="3">
        <v>65</v>
      </c>
      <c r="F91" s="108">
        <v>116331.71206747019</v>
      </c>
      <c r="G91" s="3">
        <v>-37252.712067470187</v>
      </c>
      <c r="H91">
        <f t="shared" si="1"/>
        <v>47.10822350746745</v>
      </c>
    </row>
    <row r="92" spans="1:8">
      <c r="E92" s="3">
        <v>66</v>
      </c>
      <c r="F92" s="108">
        <v>55807.563060341803</v>
      </c>
      <c r="G92" s="3">
        <v>4607.4369396581969</v>
      </c>
      <c r="H92">
        <f t="shared" ref="H92:H111" si="3">ABS((C67-F92)/C67)*100</f>
        <v>7.6263129018591362</v>
      </c>
    </row>
    <row r="93" spans="1:8">
      <c r="E93" s="3">
        <v>67</v>
      </c>
      <c r="F93" s="108">
        <v>77190.171510262371</v>
      </c>
      <c r="G93" s="3">
        <v>-20007.171510262371</v>
      </c>
      <c r="H93">
        <f t="shared" si="3"/>
        <v>34.987971093266133</v>
      </c>
    </row>
    <row r="94" spans="1:8">
      <c r="E94" s="3">
        <v>68</v>
      </c>
      <c r="F94" s="108">
        <v>66489.889750469054</v>
      </c>
      <c r="G94" s="3">
        <v>-11321.889750469054</v>
      </c>
      <c r="H94">
        <f t="shared" si="3"/>
        <v>20.522566978083407</v>
      </c>
    </row>
    <row r="95" spans="1:8">
      <c r="E95" s="3">
        <v>69</v>
      </c>
      <c r="F95" s="108">
        <v>67684.5598905675</v>
      </c>
      <c r="G95" s="3">
        <v>-2978.5598905674997</v>
      </c>
      <c r="H95">
        <f t="shared" si="3"/>
        <v>4.6032205522942222</v>
      </c>
    </row>
    <row r="96" spans="1:8">
      <c r="E96" s="3">
        <v>70</v>
      </c>
      <c r="F96" s="108">
        <v>63815.483852835772</v>
      </c>
      <c r="G96" s="3">
        <v>14708.516147164228</v>
      </c>
      <c r="H96">
        <f t="shared" si="3"/>
        <v>18.731236497331043</v>
      </c>
    </row>
    <row r="97" spans="5:8">
      <c r="E97" s="3">
        <v>71</v>
      </c>
      <c r="F97" s="108">
        <v>69732.47264587479</v>
      </c>
      <c r="G97" s="3">
        <v>4135.52735412521</v>
      </c>
      <c r="H97">
        <f t="shared" si="3"/>
        <v>5.5985370581648475</v>
      </c>
    </row>
    <row r="98" spans="5:8">
      <c r="E98" s="3">
        <v>72</v>
      </c>
      <c r="F98" s="108">
        <v>95379.170092837943</v>
      </c>
      <c r="G98" s="3">
        <v>26527.829907162057</v>
      </c>
      <c r="H98">
        <f t="shared" si="3"/>
        <v>21.760710957666134</v>
      </c>
    </row>
    <row r="99" spans="5:8">
      <c r="E99" s="3">
        <v>73</v>
      </c>
      <c r="F99" s="108">
        <v>73884.738344023237</v>
      </c>
      <c r="G99" s="3">
        <v>-6323.738344023237</v>
      </c>
      <c r="H99">
        <f t="shared" si="3"/>
        <v>9.3600425452897937</v>
      </c>
    </row>
    <row r="100" spans="5:8">
      <c r="E100" s="3">
        <v>74</v>
      </c>
      <c r="F100" s="108">
        <v>69029.349155198011</v>
      </c>
      <c r="G100" s="3">
        <v>-9286.3491551980114</v>
      </c>
      <c r="H100">
        <f t="shared" si="3"/>
        <v>15.543827988547632</v>
      </c>
    </row>
    <row r="101" spans="5:8">
      <c r="E101" s="3">
        <v>75</v>
      </c>
      <c r="F101" s="108">
        <v>104784.10101717021</v>
      </c>
      <c r="G101" s="3">
        <v>-14488.101017170207</v>
      </c>
      <c r="H101">
        <f t="shared" si="3"/>
        <v>16.045119404148807</v>
      </c>
    </row>
    <row r="102" spans="5:8">
      <c r="E102" s="3">
        <v>76</v>
      </c>
      <c r="F102" s="108">
        <v>91499.574141033794</v>
      </c>
      <c r="G102" s="3">
        <v>33244.425858966206</v>
      </c>
      <c r="H102">
        <f t="shared" si="3"/>
        <v>26.650120133205768</v>
      </c>
    </row>
    <row r="103" spans="5:8">
      <c r="E103" s="3">
        <v>77</v>
      </c>
      <c r="F103" s="108">
        <v>77688.248444283265</v>
      </c>
      <c r="G103" s="3">
        <v>-6742.2484442832647</v>
      </c>
      <c r="H103">
        <f t="shared" si="3"/>
        <v>9.5033524712926241</v>
      </c>
    </row>
    <row r="104" spans="5:8">
      <c r="E104" s="3">
        <v>78</v>
      </c>
      <c r="F104" s="108">
        <v>53574.283712363969</v>
      </c>
      <c r="G104" s="3">
        <v>-11734.283712363969</v>
      </c>
      <c r="H104">
        <f t="shared" si="3"/>
        <v>28.045611167217899</v>
      </c>
    </row>
    <row r="105" spans="5:8">
      <c r="E105" s="3">
        <v>79</v>
      </c>
      <c r="F105" s="108">
        <v>65340.206356357601</v>
      </c>
      <c r="G105" s="3">
        <v>-4496.2063563576012</v>
      </c>
      <c r="H105">
        <f t="shared" si="3"/>
        <v>7.3897284142357522</v>
      </c>
    </row>
    <row r="106" spans="5:8">
      <c r="E106" s="3">
        <v>80</v>
      </c>
      <c r="F106" s="108">
        <v>88000.559926946531</v>
      </c>
      <c r="G106" s="3">
        <v>100560.44007305347</v>
      </c>
      <c r="H106">
        <f t="shared" si="3"/>
        <v>53.330455435139548</v>
      </c>
    </row>
    <row r="107" spans="5:8">
      <c r="E107" s="3">
        <v>81</v>
      </c>
      <c r="F107" s="108">
        <v>104230.2738884634</v>
      </c>
      <c r="G107" s="3">
        <v>59648.726111536598</v>
      </c>
      <c r="H107">
        <f t="shared" si="3"/>
        <v>36.398029101676606</v>
      </c>
    </row>
    <row r="108" spans="5:8">
      <c r="E108" s="3">
        <v>82</v>
      </c>
      <c r="F108" s="108">
        <v>73177.762647618569</v>
      </c>
      <c r="G108" s="3">
        <v>-7171.7626476185687</v>
      </c>
      <c r="H108">
        <f t="shared" si="3"/>
        <v>10.865319285547629</v>
      </c>
    </row>
    <row r="109" spans="5:8">
      <c r="E109" s="3">
        <v>83</v>
      </c>
      <c r="F109" s="108">
        <v>154177.30893493863</v>
      </c>
      <c r="G109" s="3">
        <v>8394.6910650613718</v>
      </c>
      <c r="H109">
        <f t="shared" si="3"/>
        <v>5.1636758267483769</v>
      </c>
    </row>
    <row r="110" spans="5:8">
      <c r="E110" s="3">
        <v>84</v>
      </c>
      <c r="F110" s="108">
        <v>123211.98973865781</v>
      </c>
      <c r="G110" s="3">
        <v>-12738.989738657809</v>
      </c>
      <c r="H110">
        <f t="shared" si="3"/>
        <v>11.531315107454136</v>
      </c>
    </row>
    <row r="111" spans="5:8" ht="17" thickBot="1">
      <c r="E111" s="4">
        <v>85</v>
      </c>
      <c r="F111" s="105">
        <v>79991.75180013325</v>
      </c>
      <c r="G111" s="4">
        <v>-23049.75180013325</v>
      </c>
      <c r="H111">
        <f t="shared" si="3"/>
        <v>40.479350567477873</v>
      </c>
    </row>
    <row r="112" spans="5:8">
      <c r="H112">
        <f>SUM(H27:H111)</f>
        <v>1598.5386209088151</v>
      </c>
    </row>
    <row r="113" spans="6:8" ht="17" thickBot="1">
      <c r="H113">
        <f>COUNT(H27:H111)</f>
        <v>85</v>
      </c>
    </row>
    <row r="114" spans="6:8" ht="17" thickBot="1">
      <c r="F114" s="218" t="s">
        <v>34</v>
      </c>
      <c r="G114" s="219"/>
      <c r="H114" s="124">
        <f>H112/H113</f>
        <v>18.806336716574297</v>
      </c>
    </row>
    <row r="116" spans="6:8">
      <c r="H116" s="177">
        <f>AVERAGE(H27:H111)</f>
        <v>18.806336716574297</v>
      </c>
    </row>
  </sheetData>
  <mergeCells count="5">
    <mergeCell ref="H22:H23"/>
    <mergeCell ref="I22:K23"/>
    <mergeCell ref="I24:J24"/>
    <mergeCell ref="K13:M15"/>
    <mergeCell ref="F114:G1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F6B2-4E38-514E-A3DE-E5DB4156CE98}">
  <dimension ref="A1:M113"/>
  <sheetViews>
    <sheetView topLeftCell="B90" zoomScale="125" zoomScaleNormal="213" workbookViewId="0">
      <selection activeCell="H113" sqref="H113"/>
    </sheetView>
  </sheetViews>
  <sheetFormatPr baseColWidth="10" defaultRowHeight="16"/>
  <cols>
    <col min="1" max="1" width="20.6640625" customWidth="1"/>
    <col min="2" max="3" width="11.6640625" bestFit="1" customWidth="1"/>
    <col min="5" max="5" width="25.1640625" bestFit="1" customWidth="1"/>
    <col min="6" max="6" width="16.33203125" bestFit="1" customWidth="1"/>
    <col min="7" max="7" width="21.6640625" bestFit="1" customWidth="1"/>
    <col min="8" max="8" width="20.1640625" bestFit="1" customWidth="1"/>
    <col min="9" max="9" width="12.33203125" bestFit="1" customWidth="1"/>
    <col min="10" max="10" width="14" bestFit="1" customWidth="1"/>
    <col min="11" max="11" width="12.83203125" bestFit="1" customWidth="1"/>
    <col min="12" max="12" width="14.1640625" bestFit="1" customWidth="1"/>
    <col min="13" max="13" width="14.33203125" bestFit="1" customWidth="1"/>
  </cols>
  <sheetData>
    <row r="1" spans="1:13" ht="17" thickBot="1">
      <c r="A1" s="67" t="s">
        <v>138</v>
      </c>
      <c r="B1" s="61" t="s">
        <v>136</v>
      </c>
      <c r="C1" s="62" t="s">
        <v>135</v>
      </c>
    </row>
    <row r="2" spans="1:13">
      <c r="A2" s="68">
        <f>1/B2</f>
        <v>1.296193080921334E-5</v>
      </c>
      <c r="B2" s="53">
        <v>77149</v>
      </c>
      <c r="C2" s="54">
        <v>55280</v>
      </c>
      <c r="E2" t="s">
        <v>0</v>
      </c>
    </row>
    <row r="3" spans="1:13" ht="17" thickBot="1">
      <c r="A3" s="69">
        <f>1/B3</f>
        <v>1.1056809889210765E-5</v>
      </c>
      <c r="B3" s="56">
        <v>90442</v>
      </c>
      <c r="C3" s="57">
        <v>87040</v>
      </c>
    </row>
    <row r="4" spans="1:13">
      <c r="A4" s="69">
        <f t="shared" ref="A4:A67" si="0">1/B4</f>
        <v>9.3416910329107768E-6</v>
      </c>
      <c r="B4" s="56">
        <v>107047</v>
      </c>
      <c r="C4" s="57">
        <v>86404</v>
      </c>
      <c r="E4" s="6" t="s">
        <v>1</v>
      </c>
      <c r="F4" s="6"/>
    </row>
    <row r="5" spans="1:13">
      <c r="A5" s="69">
        <f t="shared" si="0"/>
        <v>1.6843807374218867E-5</v>
      </c>
      <c r="B5" s="56">
        <v>59369</v>
      </c>
      <c r="C5" s="57">
        <v>62551</v>
      </c>
      <c r="E5" s="3" t="s">
        <v>2</v>
      </c>
      <c r="F5" s="3">
        <v>0.5524705595335182</v>
      </c>
    </row>
    <row r="6" spans="1:13">
      <c r="A6" s="69">
        <f t="shared" si="0"/>
        <v>1.1968021446694433E-5</v>
      </c>
      <c r="B6" s="56">
        <v>83556</v>
      </c>
      <c r="C6" s="57">
        <v>65822</v>
      </c>
      <c r="E6" s="71" t="s">
        <v>3</v>
      </c>
      <c r="F6" s="71">
        <v>0.30522371915127866</v>
      </c>
      <c r="G6" s="72">
        <f>F6</f>
        <v>0.30522371915127866</v>
      </c>
    </row>
    <row r="7" spans="1:13">
      <c r="A7" s="69">
        <f t="shared" si="0"/>
        <v>1.4215449350353964E-5</v>
      </c>
      <c r="B7" s="56">
        <v>70346</v>
      </c>
      <c r="C7" s="57">
        <v>58487</v>
      </c>
      <c r="E7" s="3" t="s">
        <v>4</v>
      </c>
      <c r="F7" s="3">
        <v>0.29685292058683621</v>
      </c>
    </row>
    <row r="8" spans="1:13">
      <c r="A8" s="69">
        <f t="shared" si="0"/>
        <v>1.2721675190189045E-5</v>
      </c>
      <c r="B8" s="56">
        <v>78606</v>
      </c>
      <c r="C8" s="57">
        <v>64721</v>
      </c>
      <c r="E8" s="3" t="s">
        <v>5</v>
      </c>
      <c r="F8" s="3">
        <v>24529.631407684628</v>
      </c>
    </row>
    <row r="9" spans="1:13" ht="17" thickBot="1">
      <c r="A9" s="69">
        <f t="shared" si="0"/>
        <v>1.1445314288330358E-5</v>
      </c>
      <c r="B9" s="56">
        <v>87372</v>
      </c>
      <c r="C9" s="57">
        <v>61254</v>
      </c>
      <c r="E9" s="4" t="s">
        <v>6</v>
      </c>
      <c r="F9" s="4">
        <v>85</v>
      </c>
    </row>
    <row r="10" spans="1:13">
      <c r="A10" s="69">
        <f t="shared" si="0"/>
        <v>1.1640359454299949E-5</v>
      </c>
      <c r="B10" s="56">
        <v>85908</v>
      </c>
      <c r="C10" s="57">
        <v>71493</v>
      </c>
    </row>
    <row r="11" spans="1:13" ht="17" thickBot="1">
      <c r="A11" s="69">
        <f t="shared" si="0"/>
        <v>1.3021341979504408E-5</v>
      </c>
      <c r="B11" s="56">
        <v>76797</v>
      </c>
      <c r="C11" s="57">
        <v>63353</v>
      </c>
      <c r="E11" t="s">
        <v>7</v>
      </c>
    </row>
    <row r="12" spans="1:13">
      <c r="A12" s="69">
        <f t="shared" si="0"/>
        <v>1.1492271447451589E-5</v>
      </c>
      <c r="B12" s="56">
        <v>87015</v>
      </c>
      <c r="C12" s="57">
        <v>78795</v>
      </c>
      <c r="E12" s="5"/>
      <c r="F12" s="5" t="s">
        <v>12</v>
      </c>
      <c r="G12" s="5" t="s">
        <v>13</v>
      </c>
      <c r="H12" s="5" t="s">
        <v>14</v>
      </c>
      <c r="I12" s="5" t="s">
        <v>15</v>
      </c>
      <c r="J12" s="5" t="s">
        <v>16</v>
      </c>
    </row>
    <row r="13" spans="1:13">
      <c r="A13" s="69">
        <f t="shared" si="0"/>
        <v>1.2032970338728116E-5</v>
      </c>
      <c r="B13" s="56">
        <v>83105</v>
      </c>
      <c r="C13" s="57">
        <v>85190</v>
      </c>
      <c r="E13" s="3" t="s">
        <v>8</v>
      </c>
      <c r="F13" s="3">
        <v>1</v>
      </c>
      <c r="G13" s="3">
        <v>21939838859.307014</v>
      </c>
      <c r="H13" s="3">
        <v>21939838859.307014</v>
      </c>
      <c r="I13" s="3">
        <v>36.462915312263213</v>
      </c>
      <c r="J13" s="120">
        <v>4.211107089267115E-8</v>
      </c>
      <c r="K13" s="217" t="s">
        <v>147</v>
      </c>
      <c r="L13" s="217"/>
      <c r="M13" s="217"/>
    </row>
    <row r="14" spans="1:13">
      <c r="A14" s="69">
        <f t="shared" si="0"/>
        <v>1.3230313293818797E-5</v>
      </c>
      <c r="B14" s="56">
        <v>75584</v>
      </c>
      <c r="C14" s="57">
        <v>49722</v>
      </c>
      <c r="E14" s="3" t="s">
        <v>9</v>
      </c>
      <c r="F14" s="3">
        <v>83</v>
      </c>
      <c r="G14" s="3">
        <v>49941333810.740059</v>
      </c>
      <c r="H14" s="3">
        <v>601702816.99686813</v>
      </c>
      <c r="I14" s="3"/>
      <c r="J14" s="3"/>
      <c r="K14" s="217"/>
      <c r="L14" s="217"/>
      <c r="M14" s="217"/>
    </row>
    <row r="15" spans="1:13" ht="17" thickBot="1">
      <c r="A15" s="69">
        <f t="shared" si="0"/>
        <v>1.2610022445839954E-5</v>
      </c>
      <c r="B15" s="56">
        <v>79302</v>
      </c>
      <c r="C15" s="57">
        <v>87154</v>
      </c>
      <c r="E15" s="4" t="s">
        <v>10</v>
      </c>
      <c r="F15" s="4">
        <v>84</v>
      </c>
      <c r="G15" s="4">
        <v>71881172670.047073</v>
      </c>
      <c r="H15" s="4"/>
      <c r="I15" s="4"/>
      <c r="J15" s="4"/>
      <c r="K15" s="217"/>
      <c r="L15" s="217"/>
      <c r="M15" s="217"/>
    </row>
    <row r="16" spans="1:13" ht="17" thickBot="1">
      <c r="A16" s="69">
        <f t="shared" si="0"/>
        <v>1.3770690462419785E-5</v>
      </c>
      <c r="B16" s="56">
        <v>72618</v>
      </c>
      <c r="C16" s="57">
        <v>46507</v>
      </c>
    </row>
    <row r="17" spans="1:13">
      <c r="A17" s="69">
        <f t="shared" si="0"/>
        <v>8.7411823323222699E-6</v>
      </c>
      <c r="B17" s="56">
        <v>114401</v>
      </c>
      <c r="C17" s="57">
        <v>66608</v>
      </c>
      <c r="E17" s="5"/>
      <c r="F17" s="5" t="s">
        <v>17</v>
      </c>
      <c r="G17" s="5" t="s">
        <v>5</v>
      </c>
      <c r="H17" s="5" t="s">
        <v>18</v>
      </c>
      <c r="I17" s="5" t="s">
        <v>19</v>
      </c>
      <c r="J17" s="5" t="s">
        <v>20</v>
      </c>
      <c r="K17" s="5" t="s">
        <v>21</v>
      </c>
      <c r="L17" s="5" t="s">
        <v>22</v>
      </c>
      <c r="M17" s="5" t="s">
        <v>23</v>
      </c>
    </row>
    <row r="18" spans="1:13">
      <c r="A18" s="69">
        <f t="shared" si="0"/>
        <v>1.2462456848743162E-5</v>
      </c>
      <c r="B18" s="56">
        <v>80241</v>
      </c>
      <c r="C18" s="57">
        <v>74197</v>
      </c>
      <c r="E18" s="3" t="s">
        <v>11</v>
      </c>
      <c r="F18" s="3">
        <v>119234.50059359174</v>
      </c>
      <c r="G18" s="3">
        <v>7524.9160792910279</v>
      </c>
      <c r="H18" s="3">
        <v>15.845293068680391</v>
      </c>
      <c r="I18" s="3">
        <v>8.0121119551818491E-27</v>
      </c>
      <c r="J18" s="3">
        <v>104267.7451626885</v>
      </c>
      <c r="K18" s="3">
        <v>134201.25602449497</v>
      </c>
      <c r="L18" s="3">
        <v>104267.7451626885</v>
      </c>
      <c r="M18" s="3">
        <v>134201.25602449497</v>
      </c>
    </row>
    <row r="19" spans="1:13" ht="17" thickBot="1">
      <c r="A19" s="69">
        <f t="shared" si="0"/>
        <v>7.9628612152918783E-6</v>
      </c>
      <c r="B19" s="56">
        <v>125583</v>
      </c>
      <c r="C19" s="57">
        <v>132710</v>
      </c>
      <c r="E19" s="4" t="s">
        <v>138</v>
      </c>
      <c r="F19" s="105">
        <v>-3477914413.8000627</v>
      </c>
      <c r="G19" s="4">
        <v>575961157.83549321</v>
      </c>
      <c r="H19" s="4">
        <v>-6.0384530562274987</v>
      </c>
      <c r="I19" s="4">
        <v>4.211107089267115E-8</v>
      </c>
      <c r="J19" s="4">
        <v>-4623477991.6779776</v>
      </c>
      <c r="K19" s="4">
        <v>-2332350835.9221478</v>
      </c>
      <c r="L19" s="4">
        <v>-4623477991.6779776</v>
      </c>
      <c r="M19" s="4">
        <v>-2332350835.9221478</v>
      </c>
    </row>
    <row r="20" spans="1:13">
      <c r="A20" s="69">
        <f t="shared" si="0"/>
        <v>1.4848471349874531E-5</v>
      </c>
      <c r="B20" s="56">
        <v>67347</v>
      </c>
      <c r="C20" s="57">
        <v>48488</v>
      </c>
    </row>
    <row r="21" spans="1:13" ht="17" thickBot="1">
      <c r="A21" s="69">
        <f t="shared" si="0"/>
        <v>1.1943007965986314E-5</v>
      </c>
      <c r="B21" s="56">
        <v>83731</v>
      </c>
      <c r="C21" s="57">
        <v>78202</v>
      </c>
    </row>
    <row r="22" spans="1:13" ht="16" customHeight="1">
      <c r="A22" s="69">
        <f t="shared" si="0"/>
        <v>1.2023855328972683E-5</v>
      </c>
      <c r="B22" s="56">
        <v>83168</v>
      </c>
      <c r="C22" s="57">
        <v>58255</v>
      </c>
      <c r="H22" s="220" t="s">
        <v>143</v>
      </c>
      <c r="I22" s="222"/>
      <c r="J22" s="223"/>
      <c r="K22" s="224"/>
    </row>
    <row r="23" spans="1:13" ht="17" thickBot="1">
      <c r="A23" s="69">
        <f t="shared" si="0"/>
        <v>1.3840255767926591E-5</v>
      </c>
      <c r="B23" s="56">
        <v>72253</v>
      </c>
      <c r="C23" s="57">
        <v>56898</v>
      </c>
      <c r="E23" t="s">
        <v>25</v>
      </c>
      <c r="H23" s="221"/>
      <c r="I23" s="225"/>
      <c r="J23" s="226"/>
      <c r="K23" s="227"/>
    </row>
    <row r="24" spans="1:13" ht="17" thickBot="1">
      <c r="A24" s="69">
        <f t="shared" si="0"/>
        <v>5.4169126847844343E-6</v>
      </c>
      <c r="B24" s="56">
        <v>184607</v>
      </c>
      <c r="C24" s="57">
        <v>70410</v>
      </c>
    </row>
    <row r="25" spans="1:13">
      <c r="A25" s="69">
        <f t="shared" si="0"/>
        <v>9.2338661274088851E-6</v>
      </c>
      <c r="B25" s="56">
        <v>108297</v>
      </c>
      <c r="C25" s="57">
        <v>95026</v>
      </c>
      <c r="E25" s="5" t="s">
        <v>26</v>
      </c>
      <c r="F25" s="5" t="s">
        <v>27</v>
      </c>
      <c r="G25" s="5" t="s">
        <v>28</v>
      </c>
      <c r="H25" s="123" t="s">
        <v>149</v>
      </c>
    </row>
    <row r="26" spans="1:13">
      <c r="A26" s="69">
        <f t="shared" si="0"/>
        <v>1.7760096614925586E-5</v>
      </c>
      <c r="B26" s="56">
        <v>56306</v>
      </c>
      <c r="C26" s="57">
        <v>63209</v>
      </c>
      <c r="E26" s="3">
        <v>1</v>
      </c>
      <c r="F26" s="3">
        <v>74154.014601549556</v>
      </c>
      <c r="G26" s="3">
        <v>-18874.014601549556</v>
      </c>
      <c r="H26">
        <f>ABS((C2-F26)/C2)*100</f>
        <v>34.142573447086747</v>
      </c>
    </row>
    <row r="27" spans="1:13">
      <c r="A27" s="69">
        <f t="shared" si="0"/>
        <v>1.4102184428367955E-5</v>
      </c>
      <c r="B27" s="56">
        <v>70911</v>
      </c>
      <c r="C27" s="57">
        <v>65127</v>
      </c>
      <c r="E27" s="3">
        <v>2</v>
      </c>
      <c r="F27" s="3">
        <v>80779.862109258553</v>
      </c>
      <c r="G27" s="3">
        <v>6260.1378907414473</v>
      </c>
      <c r="H27">
        <f t="shared" ref="H27:H90" si="1">ABS((C3-F27)/C3)*100</f>
        <v>7.1922540105025812</v>
      </c>
    </row>
    <row r="28" spans="1:13">
      <c r="A28" s="69">
        <f t="shared" si="0"/>
        <v>1.2583523134807283E-5</v>
      </c>
      <c r="B28" s="56">
        <v>79469</v>
      </c>
      <c r="C28" s="57">
        <v>82026</v>
      </c>
      <c r="E28" s="3">
        <v>3</v>
      </c>
      <c r="F28" s="3">
        <v>86744.89870096455</v>
      </c>
      <c r="G28" s="3">
        <v>-340.89870096454979</v>
      </c>
      <c r="H28">
        <f t="shared" si="1"/>
        <v>0.39454041591193673</v>
      </c>
    </row>
    <row r="29" spans="1:13">
      <c r="A29" s="69">
        <f t="shared" si="0"/>
        <v>1.0774120562409093E-5</v>
      </c>
      <c r="B29" s="56">
        <v>92815</v>
      </c>
      <c r="C29" s="57">
        <v>67750</v>
      </c>
      <c r="E29" s="3">
        <v>4</v>
      </c>
      <c r="F29" s="3">
        <v>60653.180143524158</v>
      </c>
      <c r="G29" s="3">
        <v>1897.8198564758422</v>
      </c>
      <c r="H29">
        <f t="shared" si="1"/>
        <v>3.0340359969878059</v>
      </c>
    </row>
    <row r="30" spans="1:13">
      <c r="A30" s="69">
        <f t="shared" si="0"/>
        <v>7.6610740825863789E-6</v>
      </c>
      <c r="B30" s="56">
        <v>130530</v>
      </c>
      <c r="C30" s="57">
        <v>156881</v>
      </c>
      <c r="E30" s="3">
        <v>5</v>
      </c>
      <c r="F30" s="3">
        <v>77610.746299464896</v>
      </c>
      <c r="G30" s="3">
        <v>-11788.746299464896</v>
      </c>
      <c r="H30">
        <f t="shared" si="1"/>
        <v>17.910039651582899</v>
      </c>
    </row>
    <row r="31" spans="1:13">
      <c r="A31" s="69">
        <f t="shared" si="0"/>
        <v>9.0426541998607424E-6</v>
      </c>
      <c r="B31" s="56">
        <v>110587</v>
      </c>
      <c r="C31" s="57">
        <v>99205</v>
      </c>
      <c r="E31" s="3">
        <v>6</v>
      </c>
      <c r="F31" s="3">
        <v>69794.384399350965</v>
      </c>
      <c r="G31" s="3">
        <v>-11307.384399350965</v>
      </c>
      <c r="H31">
        <f t="shared" si="1"/>
        <v>19.333158478552441</v>
      </c>
    </row>
    <row r="32" spans="1:13">
      <c r="A32" s="69">
        <f t="shared" si="0"/>
        <v>7.1092911325811699E-6</v>
      </c>
      <c r="B32" s="56">
        <v>140661</v>
      </c>
      <c r="C32" s="57">
        <v>114277</v>
      </c>
      <c r="E32" s="3">
        <v>7</v>
      </c>
      <c r="F32" s="3">
        <v>74989.603081950612</v>
      </c>
      <c r="G32" s="3">
        <v>-10268.603081950612</v>
      </c>
      <c r="H32">
        <f t="shared" si="1"/>
        <v>15.865952445034242</v>
      </c>
    </row>
    <row r="33" spans="1:8">
      <c r="A33" s="69">
        <f t="shared" si="0"/>
        <v>1.0521996233125349E-5</v>
      </c>
      <c r="B33" s="56">
        <v>95039</v>
      </c>
      <c r="C33" s="57">
        <v>135206</v>
      </c>
      <c r="E33" s="3">
        <v>8</v>
      </c>
      <c r="F33" s="3">
        <v>79428.677059735783</v>
      </c>
      <c r="G33" s="3">
        <v>-18174.677059735783</v>
      </c>
      <c r="H33">
        <f t="shared" si="1"/>
        <v>29.671004440094983</v>
      </c>
    </row>
    <row r="34" spans="1:8">
      <c r="A34" s="69">
        <f t="shared" si="0"/>
        <v>9.4840667678300455E-6</v>
      </c>
      <c r="B34" s="56">
        <v>105440</v>
      </c>
      <c r="C34" s="57">
        <v>69546</v>
      </c>
      <c r="E34" s="3">
        <v>9</v>
      </c>
      <c r="F34" s="3">
        <v>78750.326665668123</v>
      </c>
      <c r="G34" s="3">
        <v>-7257.3266656681226</v>
      </c>
      <c r="H34">
        <f t="shared" si="1"/>
        <v>10.151101038798375</v>
      </c>
    </row>
    <row r="35" spans="1:8">
      <c r="A35" s="69">
        <f t="shared" si="0"/>
        <v>1.2489696000799341E-5</v>
      </c>
      <c r="B35" s="56">
        <v>80066</v>
      </c>
      <c r="C35" s="57">
        <v>62975</v>
      </c>
      <c r="E35" s="3">
        <v>10</v>
      </c>
      <c r="F35" s="3">
        <v>73947.387636053521</v>
      </c>
      <c r="G35" s="3">
        <v>-10594.387636053521</v>
      </c>
      <c r="H35">
        <f t="shared" si="1"/>
        <v>16.722787612352249</v>
      </c>
    </row>
    <row r="36" spans="1:8">
      <c r="A36" s="69">
        <f t="shared" si="0"/>
        <v>8.8039793986882066E-6</v>
      </c>
      <c r="B36" s="56">
        <v>113585</v>
      </c>
      <c r="C36" s="57">
        <v>76770</v>
      </c>
      <c r="E36" s="3">
        <v>11</v>
      </c>
      <c r="F36" s="3">
        <v>79265.364079196952</v>
      </c>
      <c r="G36" s="3">
        <v>-470.36407919695193</v>
      </c>
      <c r="H36">
        <f t="shared" si="1"/>
        <v>0.59694660726816673</v>
      </c>
    </row>
    <row r="37" spans="1:8">
      <c r="A37" s="69">
        <f t="shared" si="0"/>
        <v>1.0834588339816029E-5</v>
      </c>
      <c r="B37" s="56">
        <v>92297</v>
      </c>
      <c r="C37" s="57">
        <v>65404</v>
      </c>
      <c r="E37" s="3">
        <v>12</v>
      </c>
      <c r="F37" s="3">
        <v>77384.859611700609</v>
      </c>
      <c r="G37" s="3">
        <v>7805.1403882993909</v>
      </c>
      <c r="H37">
        <f t="shared" si="1"/>
        <v>9.1620382536675571</v>
      </c>
    </row>
    <row r="38" spans="1:8">
      <c r="A38" s="69">
        <f t="shared" si="0"/>
        <v>1.3437428613660491E-5</v>
      </c>
      <c r="B38" s="56">
        <v>74419</v>
      </c>
      <c r="C38" s="57">
        <v>64059</v>
      </c>
      <c r="E38" s="3">
        <v>13</v>
      </c>
      <c r="F38" s="3">
        <v>73220.603289928767</v>
      </c>
      <c r="G38" s="3">
        <v>-23498.603289928767</v>
      </c>
      <c r="H38">
        <f t="shared" si="1"/>
        <v>47.259972024312717</v>
      </c>
    </row>
    <row r="39" spans="1:8">
      <c r="A39" s="69">
        <f t="shared" si="0"/>
        <v>1.289756751876596E-5</v>
      </c>
      <c r="B39" s="56">
        <v>77534</v>
      </c>
      <c r="C39" s="57">
        <v>56134</v>
      </c>
      <c r="E39" s="3">
        <v>14</v>
      </c>
      <c r="F39" s="3">
        <v>75377.921770862653</v>
      </c>
      <c r="G39" s="3">
        <v>11776.078229137347</v>
      </c>
      <c r="H39">
        <f t="shared" si="1"/>
        <v>13.511804655136133</v>
      </c>
    </row>
    <row r="40" spans="1:8">
      <c r="A40" s="69">
        <f t="shared" si="0"/>
        <v>1.3103583830177554E-5</v>
      </c>
      <c r="B40" s="56">
        <v>76315</v>
      </c>
      <c r="C40" s="57">
        <v>57468</v>
      </c>
      <c r="E40" s="3">
        <v>15</v>
      </c>
      <c r="F40" s="3">
        <v>71341.217746362934</v>
      </c>
      <c r="G40" s="3">
        <v>-24834.217746362934</v>
      </c>
      <c r="H40">
        <f t="shared" si="1"/>
        <v>53.398881343373972</v>
      </c>
    </row>
    <row r="41" spans="1:8">
      <c r="A41" s="69">
        <f t="shared" si="0"/>
        <v>9.2854821486605691E-6</v>
      </c>
      <c r="B41" s="56">
        <v>107695</v>
      </c>
      <c r="C41" s="57">
        <v>74845</v>
      </c>
      <c r="E41" s="3">
        <v>16</v>
      </c>
      <c r="F41" s="3">
        <v>88833.41656635367</v>
      </c>
      <c r="G41" s="3">
        <v>-22225.41656635367</v>
      </c>
      <c r="H41">
        <f t="shared" si="1"/>
        <v>33.367488239180979</v>
      </c>
    </row>
    <row r="42" spans="1:8">
      <c r="A42" s="69">
        <f t="shared" si="0"/>
        <v>7.4361605615788458E-6</v>
      </c>
      <c r="B42" s="56">
        <v>134478</v>
      </c>
      <c r="C42" s="57">
        <v>88920</v>
      </c>
      <c r="E42" s="3">
        <v>17</v>
      </c>
      <c r="F42" s="3">
        <v>75891.142287986586</v>
      </c>
      <c r="G42" s="3">
        <v>-1694.1422879865859</v>
      </c>
      <c r="H42">
        <f t="shared" si="1"/>
        <v>2.2833029475404474</v>
      </c>
    </row>
    <row r="43" spans="1:8">
      <c r="A43" s="69">
        <f t="shared" si="0"/>
        <v>1.41753490679708E-5</v>
      </c>
      <c r="B43" s="56">
        <v>70545</v>
      </c>
      <c r="C43" s="57">
        <v>54986</v>
      </c>
      <c r="E43" s="3">
        <v>18</v>
      </c>
      <c r="F43" s="3">
        <v>91540.350797838633</v>
      </c>
      <c r="G43" s="3">
        <v>41169.649202161367</v>
      </c>
      <c r="H43">
        <f t="shared" si="1"/>
        <v>31.022265995148345</v>
      </c>
    </row>
    <row r="44" spans="1:8">
      <c r="A44" s="69">
        <f t="shared" si="0"/>
        <v>1.6194331983805668E-5</v>
      </c>
      <c r="B44" s="56">
        <v>61750</v>
      </c>
      <c r="C44" s="57">
        <v>56301</v>
      </c>
      <c r="E44" s="3">
        <v>19</v>
      </c>
      <c r="F44" s="3">
        <v>67592.788062965847</v>
      </c>
      <c r="G44" s="3">
        <v>-19104.788062965847</v>
      </c>
      <c r="H44">
        <f t="shared" si="1"/>
        <v>39.401064310686863</v>
      </c>
    </row>
    <row r="45" spans="1:8">
      <c r="A45" s="69">
        <f t="shared" si="0"/>
        <v>1.1867745840355083E-5</v>
      </c>
      <c r="B45" s="56">
        <v>84262</v>
      </c>
      <c r="C45" s="57">
        <v>63529</v>
      </c>
      <c r="E45" s="3">
        <v>20</v>
      </c>
      <c r="F45" s="3">
        <v>77697.741044558978</v>
      </c>
      <c r="G45" s="3">
        <v>504.25895544102241</v>
      </c>
      <c r="H45">
        <f t="shared" si="1"/>
        <v>0.64481593238155344</v>
      </c>
    </row>
    <row r="46" spans="1:8">
      <c r="A46" s="69">
        <f t="shared" si="0"/>
        <v>1.1029371215547002E-5</v>
      </c>
      <c r="B46" s="56">
        <v>90667</v>
      </c>
      <c r="C46" s="57">
        <v>67579</v>
      </c>
      <c r="E46" s="3">
        <v>21</v>
      </c>
      <c r="F46" s="3">
        <v>77416.560835510958</v>
      </c>
      <c r="G46" s="3">
        <v>-19161.560835510958</v>
      </c>
      <c r="H46">
        <f t="shared" si="1"/>
        <v>32.892560012893242</v>
      </c>
    </row>
    <row r="47" spans="1:8">
      <c r="A47" s="69">
        <f t="shared" si="0"/>
        <v>1.3598781549173194E-5</v>
      </c>
      <c r="B47" s="56">
        <v>73536</v>
      </c>
      <c r="C47" s="57">
        <v>72926</v>
      </c>
      <c r="E47" s="3">
        <v>22</v>
      </c>
      <c r="F47" s="3">
        <v>71099.275567640405</v>
      </c>
      <c r="G47" s="3">
        <v>-14201.275567640405</v>
      </c>
      <c r="H47">
        <f t="shared" si="1"/>
        <v>24.959182339696305</v>
      </c>
    </row>
    <row r="48" spans="1:8">
      <c r="A48" s="69">
        <f t="shared" si="0"/>
        <v>1.5600624024960997E-5</v>
      </c>
      <c r="B48" s="56">
        <v>64100</v>
      </c>
      <c r="C48" s="57">
        <v>44639</v>
      </c>
      <c r="E48" s="3">
        <v>23</v>
      </c>
      <c r="F48" s="3">
        <v>100394.94188888356</v>
      </c>
      <c r="G48" s="3">
        <v>-29984.941888883564</v>
      </c>
      <c r="H48">
        <f t="shared" si="1"/>
        <v>42.586197825427583</v>
      </c>
    </row>
    <row r="49" spans="1:8">
      <c r="A49" s="69">
        <f t="shared" si="0"/>
        <v>4.0296582849774339E-5</v>
      </c>
      <c r="B49" s="56">
        <v>24816</v>
      </c>
      <c r="C49" s="57">
        <v>40588</v>
      </c>
      <c r="E49" s="3">
        <v>24</v>
      </c>
      <c r="F49" s="3">
        <v>87119.90449397621</v>
      </c>
      <c r="G49" s="3">
        <v>7906.0955060237902</v>
      </c>
      <c r="H49">
        <f t="shared" si="1"/>
        <v>8.3199287626794671</v>
      </c>
    </row>
    <row r="50" spans="1:8">
      <c r="A50" s="69">
        <f t="shared" si="0"/>
        <v>2.489667878305034E-5</v>
      </c>
      <c r="B50" s="56">
        <v>40166</v>
      </c>
      <c r="C50" s="57">
        <v>49162</v>
      </c>
      <c r="E50" s="3">
        <v>25</v>
      </c>
      <c r="F50" s="3">
        <v>57466.404586060344</v>
      </c>
      <c r="G50" s="3">
        <v>5742.5954139396563</v>
      </c>
      <c r="H50">
        <f t="shared" si="1"/>
        <v>9.0850913856249207</v>
      </c>
    </row>
    <row r="51" spans="1:8">
      <c r="A51" s="69">
        <f t="shared" si="0"/>
        <v>8.3144180323098283E-6</v>
      </c>
      <c r="B51" s="56">
        <v>120273</v>
      </c>
      <c r="C51" s="57">
        <v>74210</v>
      </c>
      <c r="E51" s="3">
        <v>26</v>
      </c>
      <c r="F51" s="3">
        <v>70188.310104104035</v>
      </c>
      <c r="G51" s="3">
        <v>-5061.3101041040354</v>
      </c>
      <c r="H51">
        <f t="shared" si="1"/>
        <v>7.7714467181108224</v>
      </c>
    </row>
    <row r="52" spans="1:8">
      <c r="A52" s="69">
        <f t="shared" si="0"/>
        <v>1.0372690779715166E-5</v>
      </c>
      <c r="B52" s="56">
        <v>96407</v>
      </c>
      <c r="C52" s="57">
        <v>88854</v>
      </c>
      <c r="E52" s="3">
        <v>27</v>
      </c>
      <c r="F52" s="3">
        <v>75470.084106658949</v>
      </c>
      <c r="G52" s="3">
        <v>6555.9158933410508</v>
      </c>
      <c r="H52">
        <f t="shared" si="1"/>
        <v>7.9924851795053407</v>
      </c>
    </row>
    <row r="53" spans="1:8">
      <c r="A53" s="69">
        <f t="shared" si="0"/>
        <v>1.1182930375075484E-5</v>
      </c>
      <c r="B53" s="56">
        <v>89422</v>
      </c>
      <c r="C53" s="57">
        <v>55310</v>
      </c>
      <c r="E53" s="3">
        <v>28</v>
      </c>
      <c r="F53" s="3">
        <v>81763.031393569516</v>
      </c>
      <c r="G53" s="3">
        <v>-14013.031393569516</v>
      </c>
      <c r="H53">
        <f t="shared" si="1"/>
        <v>20.683441171320318</v>
      </c>
    </row>
    <row r="54" spans="1:8">
      <c r="A54" s="69">
        <f t="shared" si="0"/>
        <v>1.9122652694381765E-5</v>
      </c>
      <c r="B54" s="56">
        <v>52294</v>
      </c>
      <c r="C54" s="57">
        <v>60998</v>
      </c>
      <c r="E54" s="3">
        <v>29</v>
      </c>
      <c r="F54" s="3">
        <v>92589.940616574488</v>
      </c>
      <c r="G54" s="3">
        <v>64291.059383425512</v>
      </c>
      <c r="H54">
        <f t="shared" si="1"/>
        <v>40.980781218519461</v>
      </c>
    </row>
    <row r="55" spans="1:8">
      <c r="A55" s="69">
        <f t="shared" si="0"/>
        <v>1.9184284234355217E-5</v>
      </c>
      <c r="B55" s="56">
        <v>52126</v>
      </c>
      <c r="C55" s="57">
        <v>57133</v>
      </c>
      <c r="E55" s="3">
        <v>30</v>
      </c>
      <c r="F55" s="3">
        <v>87784.923212886395</v>
      </c>
      <c r="G55" s="3">
        <v>11420.076787113605</v>
      </c>
      <c r="H55">
        <f t="shared" si="1"/>
        <v>11.511593959088358</v>
      </c>
    </row>
    <row r="56" spans="1:8">
      <c r="A56" s="69">
        <f t="shared" si="0"/>
        <v>8.4120561588869162E-6</v>
      </c>
      <c r="B56" s="56">
        <v>118877</v>
      </c>
      <c r="C56" s="57">
        <v>126868</v>
      </c>
      <c r="E56" s="3">
        <v>31</v>
      </c>
      <c r="F56" s="3">
        <v>94508.994491686724</v>
      </c>
      <c r="G56" s="3">
        <v>19768.005508313276</v>
      </c>
      <c r="H56">
        <f t="shared" si="1"/>
        <v>17.298323816965162</v>
      </c>
    </row>
    <row r="57" spans="1:8">
      <c r="A57" s="69">
        <f t="shared" si="0"/>
        <v>1.7061934823408974E-5</v>
      </c>
      <c r="B57" s="56">
        <v>58610</v>
      </c>
      <c r="C57" s="57">
        <v>48163</v>
      </c>
      <c r="E57" s="3">
        <v>32</v>
      </c>
      <c r="F57" s="3">
        <v>82639.898232455133</v>
      </c>
      <c r="G57" s="3">
        <v>52566.101767544867</v>
      </c>
      <c r="H57">
        <f t="shared" si="1"/>
        <v>38.878527408210331</v>
      </c>
    </row>
    <row r="58" spans="1:8">
      <c r="A58" s="69">
        <f t="shared" si="0"/>
        <v>8.7669311357559293E-6</v>
      </c>
      <c r="B58" s="56">
        <v>114065</v>
      </c>
      <c r="C58" s="57">
        <v>75764</v>
      </c>
      <c r="E58" s="3">
        <v>33</v>
      </c>
      <c r="F58" s="3">
        <v>86249.728080313449</v>
      </c>
      <c r="G58" s="3">
        <v>-16703.728080313449</v>
      </c>
      <c r="H58">
        <f t="shared" si="1"/>
        <v>24.018244155398509</v>
      </c>
    </row>
    <row r="59" spans="1:8">
      <c r="A59" s="69">
        <f t="shared" si="0"/>
        <v>1.7128273641299693E-5</v>
      </c>
      <c r="B59" s="56">
        <v>58383</v>
      </c>
      <c r="C59" s="57">
        <v>67541</v>
      </c>
      <c r="E59" s="3">
        <v>34</v>
      </c>
      <c r="F59" s="3">
        <v>75796.406848430721</v>
      </c>
      <c r="G59" s="3">
        <v>-12821.406848430721</v>
      </c>
      <c r="H59">
        <f t="shared" si="1"/>
        <v>20.359518616007495</v>
      </c>
    </row>
    <row r="60" spans="1:8">
      <c r="A60" s="69">
        <f t="shared" si="0"/>
        <v>1.545642832854184E-5</v>
      </c>
      <c r="B60" s="56">
        <v>64698</v>
      </c>
      <c r="C60" s="57">
        <v>71616</v>
      </c>
      <c r="E60" s="3">
        <v>35</v>
      </c>
      <c r="F60" s="3">
        <v>88615.013744095224</v>
      </c>
      <c r="G60" s="3">
        <v>-11845.013744095224</v>
      </c>
      <c r="H60">
        <f t="shared" si="1"/>
        <v>15.429222019141884</v>
      </c>
    </row>
    <row r="61" spans="1:8">
      <c r="A61" s="69">
        <f t="shared" si="0"/>
        <v>9.3709295024973523E-6</v>
      </c>
      <c r="B61" s="56">
        <v>106713</v>
      </c>
      <c r="C61" s="57">
        <v>62482</v>
      </c>
      <c r="E61" s="3">
        <v>36</v>
      </c>
      <c r="F61" s="3">
        <v>81552.729638955483</v>
      </c>
      <c r="G61" s="3">
        <v>-16148.729638955483</v>
      </c>
      <c r="H61">
        <f t="shared" si="1"/>
        <v>24.690737017545537</v>
      </c>
    </row>
    <row r="62" spans="1:8">
      <c r="A62" s="69">
        <f t="shared" si="0"/>
        <v>1.3313451911811694E-5</v>
      </c>
      <c r="B62" s="56">
        <v>75112</v>
      </c>
      <c r="C62" s="57">
        <v>64455</v>
      </c>
      <c r="E62" s="3">
        <v>37</v>
      </c>
      <c r="F62" s="3">
        <v>72500.273933732533</v>
      </c>
      <c r="G62" s="3">
        <v>-8441.2739337325329</v>
      </c>
      <c r="H62">
        <f t="shared" si="1"/>
        <v>13.1773426586936</v>
      </c>
    </row>
    <row r="63" spans="1:8">
      <c r="A63" s="69">
        <f t="shared" si="0"/>
        <v>1.1483561282024781E-5</v>
      </c>
      <c r="B63" s="56">
        <v>87081</v>
      </c>
      <c r="C63" s="57">
        <v>70393</v>
      </c>
      <c r="E63" s="3">
        <v>38</v>
      </c>
      <c r="F63" s="3">
        <v>74377.864617116109</v>
      </c>
      <c r="G63" s="3">
        <v>-18243.864617116109</v>
      </c>
      <c r="H63">
        <f t="shared" si="1"/>
        <v>32.500560475141818</v>
      </c>
    </row>
    <row r="64" spans="1:8">
      <c r="A64" s="69">
        <f t="shared" si="0"/>
        <v>1.5238327441180057E-5</v>
      </c>
      <c r="B64" s="56">
        <v>65624</v>
      </c>
      <c r="C64" s="57">
        <v>58626</v>
      </c>
      <c r="E64" s="3">
        <v>39</v>
      </c>
      <c r="F64" s="3">
        <v>73661.357518179808</v>
      </c>
      <c r="G64" s="3">
        <v>-16193.357518179808</v>
      </c>
      <c r="H64">
        <f t="shared" si="1"/>
        <v>28.178042594452229</v>
      </c>
    </row>
    <row r="65" spans="1:8">
      <c r="A65" s="69">
        <f t="shared" si="0"/>
        <v>7.4630207322715941E-6</v>
      </c>
      <c r="B65" s="56">
        <v>133994</v>
      </c>
      <c r="C65" s="57">
        <v>130360</v>
      </c>
      <c r="E65" s="3">
        <v>40</v>
      </c>
      <c r="F65" s="3">
        <v>86940.388389681975</v>
      </c>
      <c r="G65" s="3">
        <v>-12095.388389681975</v>
      </c>
      <c r="H65">
        <f t="shared" si="1"/>
        <v>16.160583057895618</v>
      </c>
    </row>
    <row r="66" spans="1:8">
      <c r="A66" s="69">
        <f t="shared" si="0"/>
        <v>6.2980620862960471E-6</v>
      </c>
      <c r="B66" s="56">
        <v>158779</v>
      </c>
      <c r="C66" s="57">
        <v>79079</v>
      </c>
      <c r="E66" s="3">
        <v>41</v>
      </c>
      <c r="F66" s="3">
        <v>93372.1705931451</v>
      </c>
      <c r="G66" s="3">
        <v>-4452.1705931450997</v>
      </c>
      <c r="H66">
        <f t="shared" si="1"/>
        <v>5.0069394884672738</v>
      </c>
    </row>
    <row r="67" spans="1:8">
      <c r="A67" s="69">
        <f t="shared" si="0"/>
        <v>1.666777785185679E-5</v>
      </c>
      <c r="B67" s="56">
        <v>59996</v>
      </c>
      <c r="C67" s="57">
        <v>60415</v>
      </c>
      <c r="E67" s="3">
        <v>42</v>
      </c>
      <c r="F67" s="3">
        <v>69933.849749448826</v>
      </c>
      <c r="G67" s="3">
        <v>-14947.849749448826</v>
      </c>
      <c r="H67">
        <f t="shared" si="1"/>
        <v>27.18482840986583</v>
      </c>
    </row>
    <row r="68" spans="1:8">
      <c r="A68" s="69">
        <f t="shared" ref="A68:A86" si="2">1/B68</f>
        <v>1.1108642523883582E-5</v>
      </c>
      <c r="B68" s="56">
        <v>90020</v>
      </c>
      <c r="C68" s="57">
        <v>57183</v>
      </c>
      <c r="E68" s="3">
        <v>43</v>
      </c>
      <c r="F68" s="3">
        <v>62911.999965250645</v>
      </c>
      <c r="G68" s="3">
        <v>-6610.9999652506449</v>
      </c>
      <c r="H68">
        <f t="shared" si="1"/>
        <v>11.74224252722091</v>
      </c>
    </row>
    <row r="69" spans="1:8">
      <c r="A69" s="69">
        <f t="shared" si="2"/>
        <v>1.3415975743915856E-5</v>
      </c>
      <c r="B69" s="56">
        <v>74538</v>
      </c>
      <c r="C69" s="57">
        <v>55168</v>
      </c>
      <c r="E69" s="3">
        <v>44</v>
      </c>
      <c r="F69" s="3">
        <v>77959.496276105056</v>
      </c>
      <c r="G69" s="3">
        <v>-14430.496276105056</v>
      </c>
      <c r="H69">
        <f t="shared" si="1"/>
        <v>22.714817289907057</v>
      </c>
    </row>
    <row r="70" spans="1:8">
      <c r="A70" s="69">
        <f t="shared" si="2"/>
        <v>1.312026030596447E-5</v>
      </c>
      <c r="B70" s="56">
        <v>76218</v>
      </c>
      <c r="C70" s="57">
        <v>64706</v>
      </c>
      <c r="E70" s="3">
        <v>45</v>
      </c>
      <c r="F70" s="3">
        <v>80875.291467889299</v>
      </c>
      <c r="G70" s="3">
        <v>-13296.291467889299</v>
      </c>
      <c r="H70">
        <f t="shared" si="1"/>
        <v>19.675182331625653</v>
      </c>
    </row>
    <row r="71" spans="1:8">
      <c r="A71" s="69">
        <f t="shared" si="2"/>
        <v>1.412070377587619E-5</v>
      </c>
      <c r="B71" s="56">
        <v>70818</v>
      </c>
      <c r="C71" s="57">
        <v>78524</v>
      </c>
      <c r="E71" s="3">
        <v>46</v>
      </c>
      <c r="F71" s="3">
        <v>71939.102233603946</v>
      </c>
      <c r="G71" s="3">
        <v>986.89776639605407</v>
      </c>
      <c r="H71">
        <f t="shared" si="1"/>
        <v>1.3532865732332147</v>
      </c>
    </row>
    <row r="72" spans="1:8">
      <c r="A72" s="69">
        <f t="shared" si="2"/>
        <v>1.2638230647709321E-5</v>
      </c>
      <c r="B72" s="56">
        <v>79125</v>
      </c>
      <c r="C72" s="57">
        <v>73868</v>
      </c>
      <c r="E72" s="3">
        <v>47</v>
      </c>
      <c r="F72" s="3">
        <v>64976.865432904342</v>
      </c>
      <c r="G72" s="3">
        <v>-20337.865432904342</v>
      </c>
      <c r="H72">
        <f t="shared" si="1"/>
        <v>45.560755018939361</v>
      </c>
    </row>
    <row r="73" spans="1:8">
      <c r="A73" s="69">
        <f t="shared" si="2"/>
        <v>8.4004670659688673E-6</v>
      </c>
      <c r="B73" s="56">
        <v>119041</v>
      </c>
      <c r="C73" s="57">
        <v>121907</v>
      </c>
      <c r="E73" s="3">
        <v>48</v>
      </c>
      <c r="F73" s="3">
        <v>-20913.565726526838</v>
      </c>
      <c r="G73" s="3">
        <v>61501.565726526838</v>
      </c>
      <c r="H73">
        <f t="shared" si="1"/>
        <v>151.5264751318785</v>
      </c>
    </row>
    <row r="74" spans="1:8">
      <c r="A74" s="69">
        <f t="shared" si="2"/>
        <v>1.1746878267100518E-5</v>
      </c>
      <c r="B74" s="56">
        <v>85129</v>
      </c>
      <c r="C74" s="57">
        <v>67561</v>
      </c>
      <c r="E74" s="3">
        <v>49</v>
      </c>
      <c r="F74" s="3">
        <v>32645.98259827077</v>
      </c>
      <c r="G74" s="3">
        <v>16516.01740172923</v>
      </c>
      <c r="H74">
        <f t="shared" si="1"/>
        <v>33.595088486492067</v>
      </c>
    </row>
    <row r="75" spans="1:8">
      <c r="A75" s="69">
        <f t="shared" si="2"/>
        <v>1.2800327688388823E-5</v>
      </c>
      <c r="B75" s="56">
        <v>78123</v>
      </c>
      <c r="C75" s="57">
        <v>59743</v>
      </c>
      <c r="E75" s="3">
        <v>50</v>
      </c>
      <c r="F75" s="3">
        <v>90317.666276662232</v>
      </c>
      <c r="G75" s="3">
        <v>-16107.666276662232</v>
      </c>
      <c r="H75">
        <f t="shared" si="1"/>
        <v>21.705519844579211</v>
      </c>
    </row>
    <row r="76" spans="1:8">
      <c r="A76" s="69">
        <f t="shared" si="2"/>
        <v>7.3626316990745172E-6</v>
      </c>
      <c r="B76" s="56">
        <v>135821</v>
      </c>
      <c r="C76" s="57">
        <v>90296</v>
      </c>
      <c r="E76" s="3">
        <v>51</v>
      </c>
      <c r="F76" s="3">
        <v>83159.169820929354</v>
      </c>
      <c r="G76" s="3">
        <v>5694.8301790706464</v>
      </c>
      <c r="H76">
        <f t="shared" si="1"/>
        <v>6.409199562282673</v>
      </c>
    </row>
    <row r="77" spans="1:8">
      <c r="A77" s="69">
        <f t="shared" si="2"/>
        <v>8.8879408418657561E-6</v>
      </c>
      <c r="B77" s="56">
        <v>112512</v>
      </c>
      <c r="C77" s="57">
        <v>124744</v>
      </c>
      <c r="E77" s="3">
        <v>52</v>
      </c>
      <c r="F77" s="3">
        <v>80341.225853594166</v>
      </c>
      <c r="G77" s="3">
        <v>-25031.225853594166</v>
      </c>
      <c r="H77">
        <f t="shared" si="1"/>
        <v>45.256239113350503</v>
      </c>
    </row>
    <row r="78" spans="1:8">
      <c r="A78" s="69">
        <f t="shared" si="2"/>
        <v>1.1017341295198642E-5</v>
      </c>
      <c r="B78" s="56">
        <v>90766</v>
      </c>
      <c r="C78" s="57">
        <v>70946</v>
      </c>
      <c r="E78" s="3">
        <v>53</v>
      </c>
      <c r="F78" s="3">
        <v>52727.551157708804</v>
      </c>
      <c r="G78" s="3">
        <v>8270.4488422911963</v>
      </c>
      <c r="H78">
        <f t="shared" si="1"/>
        <v>13.55855739908062</v>
      </c>
    </row>
    <row r="79" spans="1:8">
      <c r="A79" s="69">
        <f t="shared" si="2"/>
        <v>1.7526333315807001E-5</v>
      </c>
      <c r="B79" s="56">
        <v>57057</v>
      </c>
      <c r="C79" s="57">
        <v>41840</v>
      </c>
      <c r="E79" s="3">
        <v>54</v>
      </c>
      <c r="F79" s="3">
        <v>52513.201936490441</v>
      </c>
      <c r="G79" s="3">
        <v>4619.7980635095591</v>
      </c>
      <c r="H79">
        <f t="shared" si="1"/>
        <v>8.0860414532924203</v>
      </c>
    </row>
    <row r="80" spans="1:8">
      <c r="A80" s="69">
        <f t="shared" si="2"/>
        <v>1.3711402402237701E-5</v>
      </c>
      <c r="B80" s="56">
        <v>72932</v>
      </c>
      <c r="C80" s="57">
        <v>60844</v>
      </c>
      <c r="E80" s="3">
        <v>55</v>
      </c>
      <c r="F80" s="3">
        <v>89978.089228903351</v>
      </c>
      <c r="G80" s="3">
        <v>36889.910771096649</v>
      </c>
      <c r="H80">
        <f t="shared" si="1"/>
        <v>29.07739601089057</v>
      </c>
    </row>
    <row r="81" spans="1:8">
      <c r="A81" s="69">
        <f t="shared" si="2"/>
        <v>9.3638219375620355E-6</v>
      </c>
      <c r="B81" s="56">
        <v>106794</v>
      </c>
      <c r="C81" s="57">
        <v>188561</v>
      </c>
      <c r="E81" s="3">
        <v>56</v>
      </c>
      <c r="F81" s="3">
        <v>59894.551543940441</v>
      </c>
      <c r="G81" s="3">
        <v>-11731.551543940441</v>
      </c>
      <c r="H81">
        <f t="shared" si="1"/>
        <v>24.358016618442456</v>
      </c>
    </row>
    <row r="82" spans="1:8">
      <c r="A82" s="69">
        <f t="shared" si="2"/>
        <v>7.4188929527935844E-6</v>
      </c>
      <c r="B82" s="56">
        <v>134791</v>
      </c>
      <c r="C82" s="57">
        <v>163879</v>
      </c>
      <c r="E82" s="3">
        <v>57</v>
      </c>
      <c r="F82" s="3">
        <v>88743.864431753638</v>
      </c>
      <c r="G82" s="3">
        <v>-12979.864431753638</v>
      </c>
      <c r="H82">
        <f t="shared" si="1"/>
        <v>17.131968259006438</v>
      </c>
    </row>
    <row r="83" spans="1:8">
      <c r="A83" s="69">
        <f t="shared" si="2"/>
        <v>1.1891171993911719E-5</v>
      </c>
      <c r="B83" s="56">
        <v>84096</v>
      </c>
      <c r="C83" s="57">
        <v>66006</v>
      </c>
      <c r="E83" s="3">
        <v>58</v>
      </c>
      <c r="F83" s="3">
        <v>59663.830813003857</v>
      </c>
      <c r="G83" s="3">
        <v>7877.1691869961433</v>
      </c>
      <c r="H83">
        <f t="shared" si="1"/>
        <v>11.662796208223366</v>
      </c>
    </row>
    <row r="84" spans="1:8">
      <c r="A84" s="69">
        <f t="shared" si="2"/>
        <v>3.2566076569359228E-6</v>
      </c>
      <c r="B84" s="56">
        <v>307068</v>
      </c>
      <c r="C84" s="57">
        <v>162572</v>
      </c>
      <c r="E84" s="3">
        <v>59</v>
      </c>
      <c r="F84" s="3">
        <v>65478.36572388847</v>
      </c>
      <c r="G84" s="3">
        <v>6137.6342761115302</v>
      </c>
      <c r="H84">
        <f t="shared" si="1"/>
        <v>8.5701997823273164</v>
      </c>
    </row>
    <row r="85" spans="1:8">
      <c r="A85" s="69">
        <f t="shared" si="2"/>
        <v>5.7420773687504666E-6</v>
      </c>
      <c r="B85" s="56">
        <v>174153</v>
      </c>
      <c r="C85" s="57">
        <v>110473</v>
      </c>
      <c r="E85" s="3">
        <v>60</v>
      </c>
      <c r="F85" s="3">
        <v>86643.20980615195</v>
      </c>
      <c r="G85" s="3">
        <v>-24161.20980615195</v>
      </c>
      <c r="H85">
        <f t="shared" si="1"/>
        <v>38.669072382689336</v>
      </c>
    </row>
    <row r="86" spans="1:8" ht="17" thickBot="1">
      <c r="A86" s="70">
        <f t="shared" si="2"/>
        <v>1.0610304727951787E-5</v>
      </c>
      <c r="B86" s="59">
        <v>94248</v>
      </c>
      <c r="C86" s="60">
        <v>56942</v>
      </c>
      <c r="E86" s="3">
        <v>61</v>
      </c>
      <c r="F86" s="3">
        <v>72931.45429206785</v>
      </c>
      <c r="G86" s="3">
        <v>-8476.4542920678505</v>
      </c>
      <c r="H86">
        <f t="shared" si="1"/>
        <v>13.150964691750602</v>
      </c>
    </row>
    <row r="87" spans="1:8">
      <c r="E87" s="3">
        <v>62</v>
      </c>
      <c r="F87" s="3">
        <v>79295.657289081428</v>
      </c>
      <c r="G87" s="3">
        <v>-8902.6572890814277</v>
      </c>
      <c r="H87">
        <f t="shared" si="1"/>
        <v>12.647077534813727</v>
      </c>
    </row>
    <row r="88" spans="1:8">
      <c r="E88" s="3">
        <v>63</v>
      </c>
      <c r="F88" s="3">
        <v>66236.901943706602</v>
      </c>
      <c r="G88" s="3">
        <v>-7610.9019437066017</v>
      </c>
      <c r="H88">
        <f t="shared" si="1"/>
        <v>12.982127287733434</v>
      </c>
    </row>
    <row r="89" spans="1:8">
      <c r="E89" s="3">
        <v>64</v>
      </c>
      <c r="F89" s="3">
        <v>93278.753218335667</v>
      </c>
      <c r="G89" s="3">
        <v>37081.246781664333</v>
      </c>
      <c r="H89">
        <f t="shared" si="1"/>
        <v>28.445264484246955</v>
      </c>
    </row>
    <row r="90" spans="1:8">
      <c r="E90" s="3">
        <v>65</v>
      </c>
      <c r="F90" s="3">
        <v>97330.379684655025</v>
      </c>
      <c r="G90" s="3">
        <v>-18251.379684655025</v>
      </c>
      <c r="H90">
        <f t="shared" si="1"/>
        <v>23.079932326730262</v>
      </c>
    </row>
    <row r="91" spans="1:8">
      <c r="E91" s="3">
        <v>66</v>
      </c>
      <c r="F91" s="3">
        <v>61265.395756601567</v>
      </c>
      <c r="G91" s="3">
        <v>-850.39575660156697</v>
      </c>
      <c r="H91">
        <f t="shared" ref="H91:H110" si="3">ABS((C67-F91)/C67)*100</f>
        <v>1.4075904272143789</v>
      </c>
    </row>
    <row r="92" spans="1:8">
      <c r="E92" s="3">
        <v>67</v>
      </c>
      <c r="F92" s="3">
        <v>80599.592642024727</v>
      </c>
      <c r="G92" s="3">
        <v>-23416.592642024727</v>
      </c>
      <c r="H92">
        <f t="shared" si="3"/>
        <v>40.950269559177947</v>
      </c>
    </row>
    <row r="93" spans="1:8">
      <c r="E93" s="3">
        <v>68</v>
      </c>
      <c r="F93" s="3">
        <v>72574.88517863478</v>
      </c>
      <c r="G93" s="3">
        <v>-17406.88517863478</v>
      </c>
      <c r="H93">
        <f t="shared" si="3"/>
        <v>31.552503586562462</v>
      </c>
    </row>
    <row r="94" spans="1:8">
      <c r="E94" s="3">
        <v>69</v>
      </c>
      <c r="F94" s="3">
        <v>73603.358162669087</v>
      </c>
      <c r="G94" s="3">
        <v>-8897.3581626690866</v>
      </c>
      <c r="H94">
        <f t="shared" si="3"/>
        <v>13.750437614238381</v>
      </c>
    </row>
    <row r="95" spans="1:8">
      <c r="E95" s="3">
        <v>70</v>
      </c>
      <c r="F95" s="3">
        <v>70123.901398470975</v>
      </c>
      <c r="G95" s="3">
        <v>8400.0986015290255</v>
      </c>
      <c r="H95">
        <f t="shared" si="3"/>
        <v>10.6974919789224</v>
      </c>
    </row>
    <row r="96" spans="1:8">
      <c r="E96" s="3">
        <v>71</v>
      </c>
      <c r="F96" s="3">
        <v>75279.816058993805</v>
      </c>
      <c r="G96" s="3">
        <v>-1411.8160589938052</v>
      </c>
      <c r="H96">
        <f t="shared" si="3"/>
        <v>1.9112688295253766</v>
      </c>
    </row>
    <row r="97" spans="5:8">
      <c r="E97" s="3">
        <v>72</v>
      </c>
      <c r="F97" s="3">
        <v>90018.39510220589</v>
      </c>
      <c r="G97" s="3">
        <v>31888.60489779411</v>
      </c>
      <c r="H97">
        <f t="shared" si="3"/>
        <v>26.158140958102578</v>
      </c>
    </row>
    <row r="98" spans="5:8">
      <c r="E98" s="3">
        <v>73</v>
      </c>
      <c r="F98" s="3">
        <v>78379.86335128815</v>
      </c>
      <c r="G98" s="3">
        <v>-10818.86335128815</v>
      </c>
      <c r="H98">
        <f t="shared" si="3"/>
        <v>16.013474269605467</v>
      </c>
    </row>
    <row r="99" spans="5:8">
      <c r="E99" s="3">
        <v>74</v>
      </c>
      <c r="F99" s="3">
        <v>74716.056424780225</v>
      </c>
      <c r="G99" s="3">
        <v>-14973.056424780225</v>
      </c>
      <c r="H99">
        <f t="shared" si="3"/>
        <v>25.062444846727189</v>
      </c>
    </row>
    <row r="100" spans="5:8">
      <c r="E100" s="3">
        <v>75</v>
      </c>
      <c r="F100" s="3">
        <v>93627.89768387923</v>
      </c>
      <c r="G100" s="3">
        <v>-3331.8976838792296</v>
      </c>
      <c r="H100">
        <f t="shared" si="3"/>
        <v>3.6899726276681464</v>
      </c>
    </row>
    <row r="101" spans="5:8">
      <c r="E101" s="3">
        <v>76</v>
      </c>
      <c r="F101" s="3">
        <v>88323.003030664564</v>
      </c>
      <c r="G101" s="3">
        <v>36420.996969335436</v>
      </c>
      <c r="H101">
        <f t="shared" si="3"/>
        <v>29.196592196286343</v>
      </c>
    </row>
    <row r="102" spans="5:8">
      <c r="E102" s="3">
        <v>77</v>
      </c>
      <c r="F102" s="3">
        <v>80917.130501265725</v>
      </c>
      <c r="G102" s="3">
        <v>-9971.1305012657249</v>
      </c>
      <c r="H102">
        <f t="shared" si="3"/>
        <v>14.054535141185868</v>
      </c>
    </row>
    <row r="103" spans="5:8">
      <c r="E103" s="3">
        <v>78</v>
      </c>
      <c r="F103" s="3">
        <v>58279.413333482327</v>
      </c>
      <c r="G103" s="3">
        <v>-16439.413333482327</v>
      </c>
      <c r="H103">
        <f t="shared" si="3"/>
        <v>39.291140854403267</v>
      </c>
    </row>
    <row r="104" spans="5:8">
      <c r="E104" s="3">
        <v>79</v>
      </c>
      <c r="F104" s="3">
        <v>71547.416545436441</v>
      </c>
      <c r="G104" s="3">
        <v>-10703.416545436441</v>
      </c>
      <c r="H104">
        <f t="shared" si="3"/>
        <v>17.591572785215373</v>
      </c>
    </row>
    <row r="105" spans="5:8">
      <c r="E105" s="3">
        <v>80</v>
      </c>
      <c r="F105" s="3">
        <v>86667.929308687511</v>
      </c>
      <c r="G105" s="3">
        <v>101893.07069131249</v>
      </c>
      <c r="H105">
        <f t="shared" si="3"/>
        <v>54.037192574982363</v>
      </c>
    </row>
    <row r="106" spans="5:8">
      <c r="E106" s="3">
        <v>81</v>
      </c>
      <c r="F106" s="3">
        <v>93432.225858631224</v>
      </c>
      <c r="G106" s="3">
        <v>70446.774141368776</v>
      </c>
      <c r="H106">
        <f t="shared" si="3"/>
        <v>42.987066153301384</v>
      </c>
    </row>
    <row r="107" spans="5:8">
      <c r="E107" s="3">
        <v>82</v>
      </c>
      <c r="F107" s="3">
        <v>77878.022118990542</v>
      </c>
      <c r="G107" s="3">
        <v>-11872.022118990542</v>
      </c>
      <c r="H107">
        <f t="shared" si="3"/>
        <v>17.98627718539306</v>
      </c>
    </row>
    <row r="108" spans="5:8">
      <c r="E108" s="3">
        <v>83</v>
      </c>
      <c r="F108" s="3">
        <v>107908.29788344265</v>
      </c>
      <c r="G108" s="3">
        <v>54663.702116557353</v>
      </c>
      <c r="H108">
        <f t="shared" si="3"/>
        <v>33.624303149716653</v>
      </c>
    </row>
    <row r="109" spans="5:8">
      <c r="E109" s="3">
        <v>84</v>
      </c>
      <c r="F109" s="3">
        <v>99264.046947659357</v>
      </c>
      <c r="G109" s="3">
        <v>11208.953052340643</v>
      </c>
      <c r="H109">
        <f t="shared" si="3"/>
        <v>10.146328109439088</v>
      </c>
    </row>
    <row r="110" spans="5:8" ht="17" thickBot="1">
      <c r="E110" s="4">
        <v>85</v>
      </c>
      <c r="F110" s="4">
        <v>82332.768845437269</v>
      </c>
      <c r="G110" s="4">
        <v>-25390.768845437269</v>
      </c>
      <c r="H110">
        <f t="shared" si="3"/>
        <v>44.590581373041459</v>
      </c>
    </row>
    <row r="111" spans="5:8">
      <c r="H111">
        <f>SUM(H26:H110)</f>
        <v>1930.3890106756985</v>
      </c>
    </row>
    <row r="112" spans="5:8" ht="17" thickBot="1">
      <c r="H112">
        <f>COUNT(H26:H110)</f>
        <v>85</v>
      </c>
    </row>
    <row r="113" spans="6:8" ht="17" thickBot="1">
      <c r="F113" s="228" t="s">
        <v>34</v>
      </c>
      <c r="G113" s="229"/>
      <c r="H113" s="125">
        <f>H111/H112</f>
        <v>22.710458949125865</v>
      </c>
    </row>
  </sheetData>
  <mergeCells count="4">
    <mergeCell ref="H22:H23"/>
    <mergeCell ref="I22:K23"/>
    <mergeCell ref="K13:M15"/>
    <mergeCell ref="F113:G1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4317-2EB4-CC4F-9130-3E5FA8E14D31}">
  <dimension ref="A1:M113"/>
  <sheetViews>
    <sheetView topLeftCell="C103" zoomScale="150" workbookViewId="0">
      <selection activeCell="H113" sqref="H113"/>
    </sheetView>
  </sheetViews>
  <sheetFormatPr baseColWidth="10" defaultRowHeight="16"/>
  <cols>
    <col min="5" max="5" width="24.83203125" bestFit="1" customWidth="1"/>
    <col min="6" max="6" width="16.5" bestFit="1" customWidth="1"/>
    <col min="7" max="7" width="21.5" bestFit="1" customWidth="1"/>
    <col min="8" max="8" width="20.1640625" bestFit="1" customWidth="1"/>
    <col min="9" max="9" width="12.1640625" bestFit="1" customWidth="1"/>
    <col min="10" max="10" width="14" bestFit="1" customWidth="1"/>
    <col min="11" max="11" width="12.83203125" bestFit="1" customWidth="1"/>
    <col min="12" max="13" width="14.1640625" bestFit="1" customWidth="1"/>
  </cols>
  <sheetData>
    <row r="1" spans="1:13" ht="17" thickBot="1">
      <c r="A1" s="73" t="s">
        <v>139</v>
      </c>
      <c r="B1" s="61" t="s">
        <v>136</v>
      </c>
      <c r="C1" s="62" t="s">
        <v>135</v>
      </c>
    </row>
    <row r="2" spans="1:13">
      <c r="A2" s="77">
        <f>SQRT(B2)</f>
        <v>277.75708811837728</v>
      </c>
      <c r="B2" s="74">
        <v>77149</v>
      </c>
      <c r="C2" s="64">
        <v>55280</v>
      </c>
      <c r="E2" t="s">
        <v>0</v>
      </c>
    </row>
    <row r="3" spans="1:13" ht="17" thickBot="1">
      <c r="A3" s="78">
        <f t="shared" ref="A3:A66" si="0">SQRT(B3)</f>
        <v>300.73576441786901</v>
      </c>
      <c r="B3" s="75">
        <v>90442</v>
      </c>
      <c r="C3" s="65">
        <v>87040</v>
      </c>
    </row>
    <row r="4" spans="1:13">
      <c r="A4" s="78">
        <f t="shared" si="0"/>
        <v>327.18037838476806</v>
      </c>
      <c r="B4" s="75">
        <v>107047</v>
      </c>
      <c r="C4" s="65">
        <v>86404</v>
      </c>
      <c r="E4" s="6" t="s">
        <v>1</v>
      </c>
      <c r="F4" s="6"/>
    </row>
    <row r="5" spans="1:13">
      <c r="A5" s="78">
        <f t="shared" si="0"/>
        <v>243.65754656894993</v>
      </c>
      <c r="B5" s="75">
        <v>59369</v>
      </c>
      <c r="C5" s="65">
        <v>62551</v>
      </c>
      <c r="E5" s="3" t="s">
        <v>2</v>
      </c>
      <c r="F5" s="3">
        <v>0.66747508842197956</v>
      </c>
    </row>
    <row r="6" spans="1:13">
      <c r="A6" s="78">
        <f t="shared" si="0"/>
        <v>289.06054729070172</v>
      </c>
      <c r="B6" s="75">
        <v>83556</v>
      </c>
      <c r="C6" s="65">
        <v>65822</v>
      </c>
      <c r="E6" s="80" t="s">
        <v>3</v>
      </c>
      <c r="F6" s="80">
        <v>0.44552299366392939</v>
      </c>
      <c r="G6" s="81">
        <f>F6</f>
        <v>0.44552299366392939</v>
      </c>
    </row>
    <row r="7" spans="1:13">
      <c r="A7" s="78">
        <f t="shared" si="0"/>
        <v>265.22820362849802</v>
      </c>
      <c r="B7" s="75">
        <v>70346</v>
      </c>
      <c r="C7" s="65">
        <v>58487</v>
      </c>
      <c r="E7" s="3" t="s">
        <v>4</v>
      </c>
      <c r="F7" s="3">
        <v>0.43884254780445864</v>
      </c>
    </row>
    <row r="8" spans="1:13">
      <c r="A8" s="78">
        <f t="shared" si="0"/>
        <v>280.36761581894581</v>
      </c>
      <c r="B8" s="75">
        <v>78606</v>
      </c>
      <c r="C8" s="65">
        <v>64721</v>
      </c>
      <c r="E8" s="3" t="s">
        <v>5</v>
      </c>
      <c r="F8" s="3">
        <v>21913.426987523348</v>
      </c>
    </row>
    <row r="9" spans="1:13" ht="17" thickBot="1">
      <c r="A9" s="78">
        <f t="shared" si="0"/>
        <v>295.58755048208644</v>
      </c>
      <c r="B9" s="75">
        <v>87372</v>
      </c>
      <c r="C9" s="65">
        <v>61254</v>
      </c>
      <c r="E9" s="4" t="s">
        <v>6</v>
      </c>
      <c r="F9" s="4">
        <v>85</v>
      </c>
    </row>
    <row r="10" spans="1:13">
      <c r="A10" s="78">
        <f t="shared" si="0"/>
        <v>293.10066530118968</v>
      </c>
      <c r="B10" s="75">
        <v>85908</v>
      </c>
      <c r="C10" s="65">
        <v>71493</v>
      </c>
    </row>
    <row r="11" spans="1:13" ht="17" thickBot="1">
      <c r="A11" s="78">
        <f t="shared" si="0"/>
        <v>277.12271649938771</v>
      </c>
      <c r="B11" s="75">
        <v>76797</v>
      </c>
      <c r="C11" s="65">
        <v>63353</v>
      </c>
      <c r="E11" t="s">
        <v>7</v>
      </c>
    </row>
    <row r="12" spans="1:13">
      <c r="A12" s="78">
        <f t="shared" si="0"/>
        <v>294.98305036052494</v>
      </c>
      <c r="B12" s="75">
        <v>87015</v>
      </c>
      <c r="C12" s="65">
        <v>78795</v>
      </c>
      <c r="E12" s="5"/>
      <c r="F12" s="5" t="s">
        <v>12</v>
      </c>
      <c r="G12" s="5" t="s">
        <v>13</v>
      </c>
      <c r="H12" s="5" t="s">
        <v>14</v>
      </c>
      <c r="I12" s="5" t="s">
        <v>15</v>
      </c>
      <c r="J12" s="5" t="s">
        <v>16</v>
      </c>
    </row>
    <row r="13" spans="1:13">
      <c r="A13" s="78">
        <f t="shared" si="0"/>
        <v>288.27937838145829</v>
      </c>
      <c r="B13" s="75">
        <v>83105</v>
      </c>
      <c r="C13" s="65">
        <v>85190</v>
      </c>
      <c r="E13" s="3" t="s">
        <v>8</v>
      </c>
      <c r="F13" s="3">
        <v>1</v>
      </c>
      <c r="G13" s="3">
        <v>32024715236.033195</v>
      </c>
      <c r="H13" s="3">
        <v>32024715236.033195</v>
      </c>
      <c r="I13" s="3">
        <v>66.690607638458829</v>
      </c>
      <c r="J13" s="120">
        <v>3.0316434592112827E-12</v>
      </c>
      <c r="K13" s="217" t="s">
        <v>147</v>
      </c>
      <c r="L13" s="217"/>
      <c r="M13" s="217"/>
    </row>
    <row r="14" spans="1:13">
      <c r="A14" s="78">
        <f t="shared" si="0"/>
        <v>274.9254444390333</v>
      </c>
      <c r="B14" s="75">
        <v>75584</v>
      </c>
      <c r="C14" s="65">
        <v>49722</v>
      </c>
      <c r="E14" s="3" t="s">
        <v>9</v>
      </c>
      <c r="F14" s="3">
        <v>83</v>
      </c>
      <c r="G14" s="3">
        <v>39856457434.013878</v>
      </c>
      <c r="H14" s="3">
        <v>480198282.33751661</v>
      </c>
      <c r="I14" s="3"/>
      <c r="J14" s="3"/>
      <c r="K14" s="217"/>
      <c r="L14" s="217"/>
      <c r="M14" s="217"/>
    </row>
    <row r="15" spans="1:13" ht="17" thickBot="1">
      <c r="A15" s="78">
        <f t="shared" si="0"/>
        <v>281.60610788830559</v>
      </c>
      <c r="B15" s="75">
        <v>79302</v>
      </c>
      <c r="C15" s="65">
        <v>87154</v>
      </c>
      <c r="E15" s="4" t="s">
        <v>10</v>
      </c>
      <c r="F15" s="4">
        <v>84</v>
      </c>
      <c r="G15" s="4">
        <v>71881172670.047073</v>
      </c>
      <c r="H15" s="4"/>
      <c r="I15" s="4"/>
      <c r="J15" s="4"/>
      <c r="K15" s="217"/>
      <c r="L15" s="217"/>
      <c r="M15" s="217"/>
    </row>
    <row r="16" spans="1:13" ht="17" thickBot="1">
      <c r="A16" s="78">
        <f t="shared" si="0"/>
        <v>269.47727176888219</v>
      </c>
      <c r="B16" s="75">
        <v>72618</v>
      </c>
      <c r="C16" s="65">
        <v>46507</v>
      </c>
    </row>
    <row r="17" spans="1:13">
      <c r="A17" s="78">
        <f t="shared" si="0"/>
        <v>338.23216878351474</v>
      </c>
      <c r="B17" s="75">
        <v>114401</v>
      </c>
      <c r="C17" s="65">
        <v>66608</v>
      </c>
      <c r="E17" s="5"/>
      <c r="F17" s="5" t="s">
        <v>17</v>
      </c>
      <c r="G17" s="5" t="s">
        <v>5</v>
      </c>
      <c r="H17" s="5" t="s">
        <v>18</v>
      </c>
      <c r="I17" s="5" t="s">
        <v>19</v>
      </c>
      <c r="J17" s="5" t="s">
        <v>20</v>
      </c>
      <c r="K17" s="5" t="s">
        <v>21</v>
      </c>
      <c r="L17" s="5" t="s">
        <v>22</v>
      </c>
      <c r="M17" s="5" t="s">
        <v>23</v>
      </c>
    </row>
    <row r="18" spans="1:13">
      <c r="A18" s="78">
        <f t="shared" si="0"/>
        <v>283.26842393743783</v>
      </c>
      <c r="B18" s="75">
        <v>80241</v>
      </c>
      <c r="C18" s="65">
        <v>74197</v>
      </c>
      <c r="E18" s="3" t="s">
        <v>11</v>
      </c>
      <c r="F18" s="3">
        <v>-32211.811852321654</v>
      </c>
      <c r="G18" s="3">
        <v>13550.369976729562</v>
      </c>
      <c r="H18" s="3">
        <v>-2.3771905791236638</v>
      </c>
      <c r="I18" s="3">
        <v>1.9744818575658078E-2</v>
      </c>
      <c r="J18" s="3">
        <v>-59162.952742529815</v>
      </c>
      <c r="K18" s="3">
        <v>-5260.6709621134905</v>
      </c>
      <c r="L18" s="3">
        <v>-59162.952742529815</v>
      </c>
      <c r="M18" s="3">
        <v>-5260.6709621134905</v>
      </c>
    </row>
    <row r="19" spans="1:13" ht="17" thickBot="1">
      <c r="A19" s="78">
        <f t="shared" si="0"/>
        <v>354.37691798422765</v>
      </c>
      <c r="B19" s="75">
        <v>125583</v>
      </c>
      <c r="C19" s="65">
        <v>132710</v>
      </c>
      <c r="E19" s="4" t="s">
        <v>139</v>
      </c>
      <c r="F19" s="4">
        <v>364.42079505847494</v>
      </c>
      <c r="G19" s="4">
        <v>44.624238089672993</v>
      </c>
      <c r="H19" s="4">
        <v>8.1664317567992217</v>
      </c>
      <c r="I19" s="4">
        <v>3.0316434592112827E-12</v>
      </c>
      <c r="J19" s="4">
        <v>275.66498027715477</v>
      </c>
      <c r="K19" s="4">
        <v>453.17660983979511</v>
      </c>
      <c r="L19" s="4">
        <v>275.66498027715477</v>
      </c>
      <c r="M19" s="4">
        <v>453.17660983979511</v>
      </c>
    </row>
    <row r="20" spans="1:13" ht="17" thickBot="1">
      <c r="A20" s="78">
        <f t="shared" si="0"/>
        <v>259.5130054544473</v>
      </c>
      <c r="B20" s="75">
        <v>67347</v>
      </c>
      <c r="C20" s="65">
        <v>48488</v>
      </c>
    </row>
    <row r="21" spans="1:13">
      <c r="A21" s="78">
        <f t="shared" si="0"/>
        <v>289.36309370754248</v>
      </c>
      <c r="B21" s="75">
        <v>83731</v>
      </c>
      <c r="C21" s="65">
        <v>78202</v>
      </c>
      <c r="H21" s="230" t="s">
        <v>143</v>
      </c>
      <c r="I21" s="232"/>
      <c r="J21" s="232"/>
      <c r="K21" s="233"/>
    </row>
    <row r="22" spans="1:13" ht="17" thickBot="1">
      <c r="A22" s="78">
        <f t="shared" si="0"/>
        <v>288.38862668281496</v>
      </c>
      <c r="B22" s="75">
        <v>83168</v>
      </c>
      <c r="C22" s="65">
        <v>58255</v>
      </c>
      <c r="H22" s="231"/>
      <c r="I22" s="234"/>
      <c r="J22" s="234"/>
      <c r="K22" s="235"/>
    </row>
    <row r="23" spans="1:13">
      <c r="A23" s="78">
        <f t="shared" si="0"/>
        <v>268.79918154637301</v>
      </c>
      <c r="B23" s="75">
        <v>72253</v>
      </c>
      <c r="C23" s="65">
        <v>56898</v>
      </c>
      <c r="E23" t="s">
        <v>25</v>
      </c>
    </row>
    <row r="24" spans="1:13" ht="17" thickBot="1">
      <c r="A24" s="78">
        <f t="shared" si="0"/>
        <v>429.65916724771506</v>
      </c>
      <c r="B24" s="75">
        <v>184607</v>
      </c>
      <c r="C24" s="65">
        <v>70410</v>
      </c>
      <c r="I24" s="108"/>
    </row>
    <row r="25" spans="1:13">
      <c r="A25" s="78">
        <f t="shared" si="0"/>
        <v>329.08509537807998</v>
      </c>
      <c r="B25" s="75">
        <v>108297</v>
      </c>
      <c r="C25" s="65">
        <v>95026</v>
      </c>
      <c r="E25" s="5" t="s">
        <v>26</v>
      </c>
      <c r="F25" s="5" t="s">
        <v>27</v>
      </c>
      <c r="G25" s="5" t="s">
        <v>28</v>
      </c>
      <c r="H25" s="123" t="s">
        <v>149</v>
      </c>
      <c r="I25" s="106"/>
    </row>
    <row r="26" spans="1:13">
      <c r="A26" s="78">
        <f t="shared" si="0"/>
        <v>237.28885350980985</v>
      </c>
      <c r="B26" s="75">
        <v>56306</v>
      </c>
      <c r="C26" s="65">
        <v>63209</v>
      </c>
      <c r="E26" s="3">
        <v>1</v>
      </c>
      <c r="F26" s="3">
        <v>69008.647032904279</v>
      </c>
      <c r="G26" s="3">
        <v>-13728.647032904279</v>
      </c>
      <c r="H26" s="126">
        <f>ABS((C2-F26)/C2)*100</f>
        <v>24.834744994399923</v>
      </c>
    </row>
    <row r="27" spans="1:13">
      <c r="A27" s="78">
        <f t="shared" si="0"/>
        <v>266.29119399634681</v>
      </c>
      <c r="B27" s="75">
        <v>70911</v>
      </c>
      <c r="C27" s="65">
        <v>65127</v>
      </c>
      <c r="E27" s="3">
        <v>2</v>
      </c>
      <c r="F27" s="3">
        <v>77382.554519356388</v>
      </c>
      <c r="G27" s="3">
        <v>9657.4454806436115</v>
      </c>
      <c r="H27" s="126">
        <f t="shared" ref="H27:H90" si="1">ABS((C3-F27)/C3)*100</f>
        <v>11.095410708460033</v>
      </c>
      <c r="J27" s="107"/>
    </row>
    <row r="28" spans="1:13">
      <c r="A28" s="78">
        <f t="shared" si="0"/>
        <v>281.90246540248631</v>
      </c>
      <c r="B28" s="75">
        <v>79469</v>
      </c>
      <c r="C28" s="65">
        <v>82026</v>
      </c>
      <c r="E28" s="3">
        <v>3</v>
      </c>
      <c r="F28" s="3">
        <v>87019.521766188191</v>
      </c>
      <c r="G28" s="3">
        <v>-615.52176618819067</v>
      </c>
      <c r="H28" s="126">
        <f t="shared" si="1"/>
        <v>0.7123764712145163</v>
      </c>
    </row>
    <row r="29" spans="1:13">
      <c r="A29" s="78">
        <f t="shared" si="0"/>
        <v>304.65554319591826</v>
      </c>
      <c r="B29" s="75">
        <v>92815</v>
      </c>
      <c r="C29" s="65">
        <v>67750</v>
      </c>
      <c r="E29" s="3">
        <v>4</v>
      </c>
      <c r="F29" s="3">
        <v>56582.064990332467</v>
      </c>
      <c r="G29" s="3">
        <v>5968.9350096675334</v>
      </c>
      <c r="H29" s="126">
        <f t="shared" si="1"/>
        <v>9.5425093278565232</v>
      </c>
    </row>
    <row r="30" spans="1:13">
      <c r="A30" s="78">
        <f t="shared" si="0"/>
        <v>361.28935771760564</v>
      </c>
      <c r="B30" s="75">
        <v>130530</v>
      </c>
      <c r="C30" s="65">
        <v>156881</v>
      </c>
      <c r="E30" s="3">
        <v>5</v>
      </c>
      <c r="F30" s="3">
        <v>73127.862611393764</v>
      </c>
      <c r="G30" s="3">
        <v>-7305.8626113937644</v>
      </c>
      <c r="H30" s="126">
        <f t="shared" si="1"/>
        <v>11.099423614283619</v>
      </c>
    </row>
    <row r="31" spans="1:13">
      <c r="A31" s="78">
        <f t="shared" si="0"/>
        <v>332.54623738662269</v>
      </c>
      <c r="B31" s="75">
        <v>110587</v>
      </c>
      <c r="C31" s="65">
        <v>99205</v>
      </c>
      <c r="E31" s="3">
        <v>6</v>
      </c>
      <c r="F31" s="3">
        <v>64442.860985906678</v>
      </c>
      <c r="G31" s="3">
        <v>-5955.8609859066783</v>
      </c>
      <c r="H31" s="126">
        <f t="shared" si="1"/>
        <v>10.183221888465264</v>
      </c>
    </row>
    <row r="32" spans="1:13">
      <c r="A32" s="78">
        <f t="shared" si="0"/>
        <v>375.04799692839316</v>
      </c>
      <c r="B32" s="75">
        <v>140661</v>
      </c>
      <c r="C32" s="65">
        <v>114277</v>
      </c>
      <c r="E32" s="3">
        <v>7</v>
      </c>
      <c r="F32" s="3">
        <v>69959.977613067633</v>
      </c>
      <c r="G32" s="3">
        <v>-5238.9776130676328</v>
      </c>
      <c r="H32" s="126">
        <f t="shared" si="1"/>
        <v>8.0947105469131095</v>
      </c>
    </row>
    <row r="33" spans="1:8">
      <c r="A33" s="78">
        <f t="shared" si="0"/>
        <v>308.28396001089646</v>
      </c>
      <c r="B33" s="75">
        <v>95039</v>
      </c>
      <c r="C33" s="65">
        <v>135206</v>
      </c>
      <c r="E33" s="3">
        <v>8</v>
      </c>
      <c r="F33" s="3">
        <v>75506.438303747389</v>
      </c>
      <c r="G33" s="3">
        <v>-14252.438303747389</v>
      </c>
      <c r="H33" s="126">
        <f t="shared" si="1"/>
        <v>23.267767498852955</v>
      </c>
    </row>
    <row r="34" spans="1:8">
      <c r="A34" s="78">
        <f t="shared" si="0"/>
        <v>324.71525988163847</v>
      </c>
      <c r="B34" s="75">
        <v>105440</v>
      </c>
      <c r="C34" s="65">
        <v>69546</v>
      </c>
      <c r="E34" s="3">
        <v>9</v>
      </c>
      <c r="F34" s="3">
        <v>74600.165628905845</v>
      </c>
      <c r="G34" s="3">
        <v>-3107.1656289058446</v>
      </c>
      <c r="H34" s="126">
        <f t="shared" si="1"/>
        <v>4.3461116877258537</v>
      </c>
    </row>
    <row r="35" spans="1:8">
      <c r="A35" s="78">
        <f t="shared" si="0"/>
        <v>282.95936103970831</v>
      </c>
      <c r="B35" s="75">
        <v>80066</v>
      </c>
      <c r="C35" s="65">
        <v>62975</v>
      </c>
      <c r="E35" s="3">
        <v>10</v>
      </c>
      <c r="F35" s="3">
        <v>68777.468823149567</v>
      </c>
      <c r="G35" s="3">
        <v>-5424.4688231495675</v>
      </c>
      <c r="H35" s="126">
        <f t="shared" si="1"/>
        <v>8.5622919564181146</v>
      </c>
    </row>
    <row r="36" spans="1:8">
      <c r="A36" s="78">
        <f t="shared" si="0"/>
        <v>337.02373803635851</v>
      </c>
      <c r="B36" s="75">
        <v>113585</v>
      </c>
      <c r="C36" s="65">
        <v>76770</v>
      </c>
      <c r="E36" s="3">
        <v>11</v>
      </c>
      <c r="F36" s="3">
        <v>75286.145888835003</v>
      </c>
      <c r="G36" s="3">
        <v>3508.8541111649974</v>
      </c>
      <c r="H36" s="126">
        <f t="shared" si="1"/>
        <v>4.4531431070055172</v>
      </c>
    </row>
    <row r="37" spans="1:8">
      <c r="A37" s="78">
        <f t="shared" si="0"/>
        <v>303.80421326900654</v>
      </c>
      <c r="B37" s="75">
        <v>92297</v>
      </c>
      <c r="C37" s="65">
        <v>65404</v>
      </c>
      <c r="E37" s="3">
        <v>12</v>
      </c>
      <c r="F37" s="3">
        <v>72843.188416412304</v>
      </c>
      <c r="G37" s="3">
        <v>12346.811583587696</v>
      </c>
      <c r="H37" s="126">
        <f t="shared" si="1"/>
        <v>14.493263978856316</v>
      </c>
    </row>
    <row r="38" spans="1:8">
      <c r="A38" s="78">
        <f t="shared" si="0"/>
        <v>272.79846040621271</v>
      </c>
      <c r="B38" s="75">
        <v>74419</v>
      </c>
      <c r="C38" s="65">
        <v>64059</v>
      </c>
      <c r="E38" s="3">
        <v>13</v>
      </c>
      <c r="F38" s="3">
        <v>67976.737191955443</v>
      </c>
      <c r="G38" s="3">
        <v>-18254.737191955443</v>
      </c>
      <c r="H38" s="126">
        <f t="shared" si="1"/>
        <v>36.713602011092561</v>
      </c>
    </row>
    <row r="39" spans="1:8">
      <c r="A39" s="78">
        <f t="shared" si="0"/>
        <v>278.4492772481193</v>
      </c>
      <c r="B39" s="75">
        <v>77534</v>
      </c>
      <c r="C39" s="65">
        <v>56134</v>
      </c>
      <c r="E39" s="3">
        <v>14</v>
      </c>
      <c r="F39" s="3">
        <v>70411.309877657332</v>
      </c>
      <c r="G39" s="3">
        <v>16742.690122342668</v>
      </c>
      <c r="H39" s="126">
        <f t="shared" si="1"/>
        <v>19.21046667088449</v>
      </c>
    </row>
    <row r="40" spans="1:8">
      <c r="A40" s="78">
        <f t="shared" si="0"/>
        <v>276.25169682736794</v>
      </c>
      <c r="B40" s="75">
        <v>76315</v>
      </c>
      <c r="C40" s="65">
        <v>57468</v>
      </c>
      <c r="E40" s="3">
        <v>15</v>
      </c>
      <c r="F40" s="3">
        <v>65991.309775883114</v>
      </c>
      <c r="G40" s="3">
        <v>-19484.309775883114</v>
      </c>
      <c r="H40" s="126">
        <f t="shared" si="1"/>
        <v>41.895434613892782</v>
      </c>
    </row>
    <row r="41" spans="1:8">
      <c r="A41" s="78">
        <f t="shared" si="0"/>
        <v>328.16916369457994</v>
      </c>
      <c r="B41" s="75">
        <v>107695</v>
      </c>
      <c r="C41" s="65">
        <v>74845</v>
      </c>
      <c r="E41" s="3">
        <v>16</v>
      </c>
      <c r="F41" s="3">
        <v>91047.024010119072</v>
      </c>
      <c r="G41" s="3">
        <v>-24439.024010119072</v>
      </c>
      <c r="H41" s="126">
        <f t="shared" si="1"/>
        <v>36.690823940246027</v>
      </c>
    </row>
    <row r="42" spans="1:8">
      <c r="A42" s="78">
        <f t="shared" si="0"/>
        <v>366.71242138765905</v>
      </c>
      <c r="B42" s="75">
        <v>134478</v>
      </c>
      <c r="C42" s="65">
        <v>88920</v>
      </c>
      <c r="E42" s="3">
        <v>17</v>
      </c>
      <c r="F42" s="3">
        <v>71017.092413920574</v>
      </c>
      <c r="G42" s="3">
        <v>3179.9075860794255</v>
      </c>
      <c r="H42" s="126">
        <f t="shared" si="1"/>
        <v>4.2857630174797174</v>
      </c>
    </row>
    <row r="43" spans="1:8">
      <c r="A43" s="78">
        <f t="shared" si="0"/>
        <v>265.60308733145405</v>
      </c>
      <c r="B43" s="75">
        <v>70545</v>
      </c>
      <c r="C43" s="65">
        <v>54986</v>
      </c>
      <c r="E43" s="3">
        <v>18</v>
      </c>
      <c r="F43" s="3">
        <v>96930.506349862553</v>
      </c>
      <c r="G43" s="3">
        <v>35779.493650137447</v>
      </c>
      <c r="H43" s="126">
        <f t="shared" si="1"/>
        <v>26.960661329317649</v>
      </c>
    </row>
    <row r="44" spans="1:8">
      <c r="A44" s="78">
        <f t="shared" si="0"/>
        <v>248.49547279578354</v>
      </c>
      <c r="B44" s="75">
        <v>61750</v>
      </c>
      <c r="C44" s="65">
        <v>56301</v>
      </c>
      <c r="E44" s="3">
        <v>19</v>
      </c>
      <c r="F44" s="3">
        <v>62360.123923402367</v>
      </c>
      <c r="G44" s="3">
        <v>-13872.123923402367</v>
      </c>
      <c r="H44" s="126">
        <f t="shared" si="1"/>
        <v>28.609395981278603</v>
      </c>
    </row>
    <row r="45" spans="1:8">
      <c r="A45" s="78">
        <f t="shared" si="0"/>
        <v>290.27917596686126</v>
      </c>
      <c r="B45" s="75">
        <v>84262</v>
      </c>
      <c r="C45" s="65">
        <v>63529</v>
      </c>
      <c r="E45" s="3">
        <v>20</v>
      </c>
      <c r="F45" s="3">
        <v>73238.116817160961</v>
      </c>
      <c r="G45" s="3">
        <v>4963.8831828390394</v>
      </c>
      <c r="H45" s="126">
        <f t="shared" si="1"/>
        <v>6.3475143638769325</v>
      </c>
    </row>
    <row r="46" spans="1:8">
      <c r="A46" s="78">
        <f t="shared" si="0"/>
        <v>301.10961459242714</v>
      </c>
      <c r="B46" s="75">
        <v>90667</v>
      </c>
      <c r="C46" s="65">
        <v>67579</v>
      </c>
      <c r="E46" s="3">
        <v>21</v>
      </c>
      <c r="F46" s="3">
        <v>72883.000769251492</v>
      </c>
      <c r="G46" s="3">
        <v>-14628.000769251492</v>
      </c>
      <c r="H46" s="126">
        <f t="shared" si="1"/>
        <v>25.110292282639247</v>
      </c>
    </row>
    <row r="47" spans="1:8">
      <c r="A47" s="78">
        <f t="shared" si="0"/>
        <v>271.17522010685269</v>
      </c>
      <c r="B47" s="75">
        <v>73536</v>
      </c>
      <c r="C47" s="65">
        <v>72926</v>
      </c>
      <c r="E47" s="3">
        <v>22</v>
      </c>
      <c r="F47" s="3">
        <v>65744.199597874947</v>
      </c>
      <c r="G47" s="3">
        <v>-8846.1995978749474</v>
      </c>
      <c r="H47" s="126">
        <f t="shared" si="1"/>
        <v>15.547470206114358</v>
      </c>
    </row>
    <row r="48" spans="1:8">
      <c r="A48" s="78">
        <f t="shared" si="0"/>
        <v>253.17977802344325</v>
      </c>
      <c r="B48" s="75">
        <v>64100</v>
      </c>
      <c r="C48" s="65">
        <v>44639</v>
      </c>
      <c r="E48" s="3">
        <v>23</v>
      </c>
      <c r="F48" s="3">
        <v>124364.92348025292</v>
      </c>
      <c r="G48" s="3">
        <v>-53954.923480252924</v>
      </c>
      <c r="H48" s="126">
        <f t="shared" si="1"/>
        <v>76.629631416351259</v>
      </c>
    </row>
    <row r="49" spans="1:8">
      <c r="A49" s="78">
        <f t="shared" si="0"/>
        <v>157.53094934012174</v>
      </c>
      <c r="B49" s="75">
        <v>24816</v>
      </c>
      <c r="C49" s="65">
        <v>40588</v>
      </c>
      <c r="E49" s="3">
        <v>24</v>
      </c>
      <c r="F49" s="3">
        <v>87713.640247252304</v>
      </c>
      <c r="G49" s="3">
        <v>7312.3597527476959</v>
      </c>
      <c r="H49" s="126">
        <f t="shared" si="1"/>
        <v>7.6951147609577326</v>
      </c>
    </row>
    <row r="50" spans="1:8">
      <c r="A50" s="78">
        <f t="shared" si="0"/>
        <v>200.4145703286066</v>
      </c>
      <c r="B50" s="75">
        <v>40166</v>
      </c>
      <c r="C50" s="65">
        <v>49162</v>
      </c>
      <c r="E50" s="3">
        <v>25</v>
      </c>
      <c r="F50" s="3">
        <v>54261.180802237242</v>
      </c>
      <c r="G50" s="3">
        <v>8947.8191977627575</v>
      </c>
      <c r="H50" s="126">
        <f t="shared" si="1"/>
        <v>14.155925893089208</v>
      </c>
    </row>
    <row r="51" spans="1:8">
      <c r="A51" s="78">
        <f t="shared" si="0"/>
        <v>346.80397921592538</v>
      </c>
      <c r="B51" s="75">
        <v>120273</v>
      </c>
      <c r="C51" s="65">
        <v>74210</v>
      </c>
      <c r="E51" s="3">
        <v>26</v>
      </c>
      <c r="F51" s="3">
        <v>64830.236780897641</v>
      </c>
      <c r="G51" s="3">
        <v>296.76321910235856</v>
      </c>
      <c r="H51" s="126">
        <f t="shared" si="1"/>
        <v>0.45566849248753749</v>
      </c>
    </row>
    <row r="52" spans="1:8">
      <c r="A52" s="78">
        <f t="shared" si="0"/>
        <v>310.49476646152993</v>
      </c>
      <c r="B52" s="75">
        <v>96407</v>
      </c>
      <c r="C52" s="65">
        <v>88854</v>
      </c>
      <c r="E52" s="3">
        <v>27</v>
      </c>
      <c r="F52" s="3">
        <v>70519.308718596629</v>
      </c>
      <c r="G52" s="3">
        <v>11506.691281403371</v>
      </c>
      <c r="H52" s="126">
        <f t="shared" si="1"/>
        <v>14.028102408264905</v>
      </c>
    </row>
    <row r="53" spans="1:8">
      <c r="A53" s="78">
        <f t="shared" si="0"/>
        <v>299.03511499487814</v>
      </c>
      <c r="B53" s="75">
        <v>89422</v>
      </c>
      <c r="C53" s="65">
        <v>55310</v>
      </c>
      <c r="E53" s="3">
        <v>28</v>
      </c>
      <c r="F53" s="3">
        <v>78811.003418106426</v>
      </c>
      <c r="G53" s="3">
        <v>-11061.003418106426</v>
      </c>
      <c r="H53" s="126">
        <f t="shared" si="1"/>
        <v>16.326204307168158</v>
      </c>
    </row>
    <row r="54" spans="1:8">
      <c r="A54" s="78">
        <f t="shared" si="0"/>
        <v>228.67881406024478</v>
      </c>
      <c r="B54" s="75">
        <v>52294</v>
      </c>
      <c r="C54" s="65">
        <v>60998</v>
      </c>
      <c r="E54" s="3">
        <v>29</v>
      </c>
      <c r="F54" s="3">
        <v>99449.543133293962</v>
      </c>
      <c r="G54" s="3">
        <v>57431.456866706038</v>
      </c>
      <c r="H54" s="126">
        <f t="shared" si="1"/>
        <v>36.608293462373418</v>
      </c>
    </row>
    <row r="55" spans="1:8">
      <c r="A55" s="78">
        <f t="shared" si="0"/>
        <v>228.3111911405133</v>
      </c>
      <c r="B55" s="75">
        <v>52126</v>
      </c>
      <c r="C55" s="65">
        <v>57133</v>
      </c>
      <c r="E55" s="3">
        <v>30</v>
      </c>
      <c r="F55" s="3">
        <v>88974.952369815728</v>
      </c>
      <c r="G55" s="3">
        <v>10230.047630184272</v>
      </c>
      <c r="H55" s="126">
        <f t="shared" si="1"/>
        <v>10.312028254810011</v>
      </c>
    </row>
    <row r="56" spans="1:8">
      <c r="A56" s="78">
        <f t="shared" si="0"/>
        <v>344.78544052787379</v>
      </c>
      <c r="B56" s="75">
        <v>118877</v>
      </c>
      <c r="C56" s="65">
        <v>126868</v>
      </c>
      <c r="E56" s="3">
        <v>31</v>
      </c>
      <c r="F56" s="3">
        <v>104463.47737341184</v>
      </c>
      <c r="G56" s="3">
        <v>9813.5226265881647</v>
      </c>
      <c r="H56" s="126">
        <f t="shared" si="1"/>
        <v>8.5874870941555734</v>
      </c>
    </row>
    <row r="57" spans="1:8">
      <c r="A57" s="78">
        <f t="shared" si="0"/>
        <v>242.09502266672067</v>
      </c>
      <c r="B57" s="75">
        <v>58610</v>
      </c>
      <c r="C57" s="65">
        <v>48163</v>
      </c>
      <c r="E57" s="3">
        <v>32</v>
      </c>
      <c r="F57" s="3">
        <v>80133.273958624326</v>
      </c>
      <c r="G57" s="3">
        <v>55072.726041375674</v>
      </c>
      <c r="H57" s="126">
        <f t="shared" si="1"/>
        <v>40.732457170078014</v>
      </c>
    </row>
    <row r="58" spans="1:8">
      <c r="A58" s="78">
        <f t="shared" si="0"/>
        <v>337.73510329842827</v>
      </c>
      <c r="B58" s="75">
        <v>114065</v>
      </c>
      <c r="C58" s="65">
        <v>75764</v>
      </c>
      <c r="E58" s="3">
        <v>33</v>
      </c>
      <c r="F58" s="3">
        <v>86121.181321364347</v>
      </c>
      <c r="G58" s="3">
        <v>-16575.181321364347</v>
      </c>
      <c r="H58" s="126">
        <f t="shared" si="1"/>
        <v>23.833407128180408</v>
      </c>
    </row>
    <row r="59" spans="1:8">
      <c r="A59" s="78">
        <f t="shared" si="0"/>
        <v>241.62574366155607</v>
      </c>
      <c r="B59" s="75">
        <v>58383</v>
      </c>
      <c r="C59" s="65">
        <v>67541</v>
      </c>
      <c r="E59" s="3">
        <v>34</v>
      </c>
      <c r="F59" s="3">
        <v>70904.463467006906</v>
      </c>
      <c r="G59" s="3">
        <v>-7929.4634670069063</v>
      </c>
      <c r="H59" s="126">
        <f t="shared" si="1"/>
        <v>12.59144655340517</v>
      </c>
    </row>
    <row r="60" spans="1:8">
      <c r="A60" s="78">
        <f t="shared" si="0"/>
        <v>254.35801540348595</v>
      </c>
      <c r="B60" s="75">
        <v>64698</v>
      </c>
      <c r="C60" s="65">
        <v>71616</v>
      </c>
      <c r="E60" s="3">
        <v>35</v>
      </c>
      <c r="F60" s="3">
        <v>90606.646716467294</v>
      </c>
      <c r="G60" s="3">
        <v>-13836.646716467294</v>
      </c>
      <c r="H60" s="126">
        <f t="shared" si="1"/>
        <v>18.023507511355081</v>
      </c>
    </row>
    <row r="61" spans="1:8">
      <c r="A61" s="78">
        <f t="shared" si="0"/>
        <v>326.66955781033528</v>
      </c>
      <c r="B61" s="75">
        <v>106713</v>
      </c>
      <c r="C61" s="65">
        <v>62482</v>
      </c>
      <c r="E61" s="3">
        <v>36</v>
      </c>
      <c r="F61" s="3">
        <v>78500.761089284191</v>
      </c>
      <c r="G61" s="3">
        <v>-13096.761089284191</v>
      </c>
      <c r="H61" s="126">
        <f t="shared" si="1"/>
        <v>20.024403842707162</v>
      </c>
    </row>
    <row r="62" spans="1:8">
      <c r="A62" s="78">
        <f t="shared" si="0"/>
        <v>274.06568555731309</v>
      </c>
      <c r="B62" s="75">
        <v>75112</v>
      </c>
      <c r="C62" s="65">
        <v>64455</v>
      </c>
      <c r="E62" s="3">
        <v>37</v>
      </c>
      <c r="F62" s="3">
        <v>67201.619979638272</v>
      </c>
      <c r="G62" s="3">
        <v>-3142.6199796382716</v>
      </c>
      <c r="H62" s="126">
        <f t="shared" si="1"/>
        <v>4.9058211642989606</v>
      </c>
    </row>
    <row r="63" spans="1:8">
      <c r="A63" s="78">
        <f t="shared" si="0"/>
        <v>295.09489998981684</v>
      </c>
      <c r="B63" s="75">
        <v>87081</v>
      </c>
      <c r="C63" s="65">
        <v>70393</v>
      </c>
      <c r="E63" s="3">
        <v>38</v>
      </c>
      <c r="F63" s="3">
        <v>69260.895145895702</v>
      </c>
      <c r="G63" s="3">
        <v>-13126.895145895702</v>
      </c>
      <c r="H63" s="126">
        <f t="shared" si="1"/>
        <v>23.384927398538679</v>
      </c>
    </row>
    <row r="64" spans="1:8">
      <c r="A64" s="78">
        <f t="shared" si="0"/>
        <v>256.1718173414086</v>
      </c>
      <c r="B64" s="75">
        <v>65624</v>
      </c>
      <c r="C64" s="65">
        <v>58626</v>
      </c>
      <c r="E64" s="3">
        <v>39</v>
      </c>
      <c r="F64" s="3">
        <v>68460.051141760545</v>
      </c>
      <c r="G64" s="3">
        <v>-10992.051141760545</v>
      </c>
      <c r="H64" s="126">
        <f t="shared" si="1"/>
        <v>19.127255414770907</v>
      </c>
    </row>
    <row r="65" spans="1:8">
      <c r="A65" s="78">
        <f t="shared" si="0"/>
        <v>366.05190888725059</v>
      </c>
      <c r="B65" s="75">
        <v>133994</v>
      </c>
      <c r="C65" s="65">
        <v>130360</v>
      </c>
      <c r="E65" s="3">
        <v>40</v>
      </c>
      <c r="F65" s="3">
        <v>87379.855694931975</v>
      </c>
      <c r="G65" s="3">
        <v>-12534.855694931975</v>
      </c>
      <c r="H65" s="126">
        <f t="shared" si="1"/>
        <v>16.747752949337933</v>
      </c>
    </row>
    <row r="66" spans="1:8">
      <c r="A66" s="78">
        <f t="shared" si="0"/>
        <v>398.47082703756371</v>
      </c>
      <c r="B66" s="75">
        <v>158779</v>
      </c>
      <c r="C66" s="65">
        <v>79079</v>
      </c>
      <c r="E66" s="3">
        <v>41</v>
      </c>
      <c r="F66" s="3">
        <v>101425.82030758755</v>
      </c>
      <c r="G66" s="3">
        <v>-12505.82030758755</v>
      </c>
      <c r="H66" s="126">
        <f t="shared" si="1"/>
        <v>14.064125402145242</v>
      </c>
    </row>
    <row r="67" spans="1:8">
      <c r="A67" s="78">
        <f t="shared" ref="A67:A86" si="2">SQRT(B67)</f>
        <v>244.94080917642123</v>
      </c>
      <c r="B67" s="75">
        <v>59996</v>
      </c>
      <c r="C67" s="65">
        <v>60415</v>
      </c>
      <c r="E67" s="3">
        <v>42</v>
      </c>
      <c r="F67" s="3">
        <v>64579.476402992383</v>
      </c>
      <c r="G67" s="3">
        <v>-9593.4764029923826</v>
      </c>
      <c r="H67" s="126">
        <f t="shared" si="1"/>
        <v>17.447125455556655</v>
      </c>
    </row>
    <row r="68" spans="1:8">
      <c r="A68" s="78">
        <f t="shared" si="2"/>
        <v>300.03333148168724</v>
      </c>
      <c r="B68" s="75">
        <v>90020</v>
      </c>
      <c r="C68" s="65">
        <v>57183</v>
      </c>
      <c r="E68" s="3">
        <v>43</v>
      </c>
      <c r="F68" s="3">
        <v>58345.10591234942</v>
      </c>
      <c r="G68" s="3">
        <v>-2044.1059123494197</v>
      </c>
      <c r="H68" s="126">
        <f t="shared" si="1"/>
        <v>3.6306742550743678</v>
      </c>
    </row>
    <row r="69" spans="1:8">
      <c r="A69" s="78">
        <f t="shared" si="2"/>
        <v>273.01648301888292</v>
      </c>
      <c r="B69" s="75">
        <v>74538</v>
      </c>
      <c r="C69" s="65">
        <v>55168</v>
      </c>
      <c r="E69" s="3">
        <v>44</v>
      </c>
      <c r="F69" s="3">
        <v>73571.95624244088</v>
      </c>
      <c r="G69" s="3">
        <v>-10042.95624244088</v>
      </c>
      <c r="H69" s="126">
        <f t="shared" si="1"/>
        <v>15.808459510524136</v>
      </c>
    </row>
    <row r="70" spans="1:8">
      <c r="A70" s="78">
        <f t="shared" si="2"/>
        <v>276.07607647168561</v>
      </c>
      <c r="B70" s="75">
        <v>76218</v>
      </c>
      <c r="C70" s="65">
        <v>64706</v>
      </c>
      <c r="E70" s="3">
        <v>45</v>
      </c>
      <c r="F70" s="3">
        <v>77518.793297201613</v>
      </c>
      <c r="G70" s="3">
        <v>-9939.7932972016133</v>
      </c>
      <c r="H70" s="126">
        <f t="shared" si="1"/>
        <v>14.708405417661719</v>
      </c>
    </row>
    <row r="71" spans="1:8">
      <c r="A71" s="78">
        <f t="shared" si="2"/>
        <v>266.11651583469973</v>
      </c>
      <c r="B71" s="75">
        <v>70818</v>
      </c>
      <c r="C71" s="65">
        <v>78524</v>
      </c>
      <c r="E71" s="3">
        <v>46</v>
      </c>
      <c r="F71" s="3">
        <v>66610.077459174543</v>
      </c>
      <c r="G71" s="3">
        <v>6315.922540825457</v>
      </c>
      <c r="H71" s="126">
        <f t="shared" si="1"/>
        <v>8.6607280542268281</v>
      </c>
    </row>
    <row r="72" spans="1:8">
      <c r="A72" s="78">
        <f t="shared" si="2"/>
        <v>281.2916635807041</v>
      </c>
      <c r="B72" s="75">
        <v>79125</v>
      </c>
      <c r="C72" s="65">
        <v>73868</v>
      </c>
      <c r="E72" s="3">
        <v>47</v>
      </c>
      <c r="F72" s="3">
        <v>60052.164147709729</v>
      </c>
      <c r="G72" s="3">
        <v>-15413.164147709729</v>
      </c>
      <c r="H72" s="126">
        <f t="shared" si="1"/>
        <v>34.528470950759939</v>
      </c>
    </row>
    <row r="73" spans="1:8">
      <c r="A73" s="78">
        <f t="shared" si="2"/>
        <v>345.02318762657097</v>
      </c>
      <c r="B73" s="75">
        <v>119041</v>
      </c>
      <c r="C73" s="65">
        <v>121907</v>
      </c>
      <c r="E73" s="3">
        <v>48</v>
      </c>
      <c r="F73" s="3">
        <v>25195.74195252185</v>
      </c>
      <c r="G73" s="3">
        <v>15392.25804747815</v>
      </c>
      <c r="H73" s="126">
        <f t="shared" si="1"/>
        <v>37.923174454218369</v>
      </c>
    </row>
    <row r="74" spans="1:8">
      <c r="A74" s="78">
        <f t="shared" si="2"/>
        <v>291.76874404226373</v>
      </c>
      <c r="B74" s="75">
        <v>85129</v>
      </c>
      <c r="C74" s="65">
        <v>67561</v>
      </c>
      <c r="E74" s="3">
        <v>49</v>
      </c>
      <c r="F74" s="3">
        <v>40823.425208131797</v>
      </c>
      <c r="G74" s="3">
        <v>8338.5747918682027</v>
      </c>
      <c r="H74" s="126">
        <f t="shared" si="1"/>
        <v>16.961423033782602</v>
      </c>
    </row>
    <row r="75" spans="1:8">
      <c r="A75" s="78">
        <f t="shared" si="2"/>
        <v>279.50491945581206</v>
      </c>
      <c r="B75" s="75">
        <v>78123</v>
      </c>
      <c r="C75" s="65">
        <v>59743</v>
      </c>
      <c r="E75" s="3">
        <v>50</v>
      </c>
      <c r="F75" s="3">
        <v>94170.769982988684</v>
      </c>
      <c r="G75" s="3">
        <v>-19960.769982988684</v>
      </c>
      <c r="H75" s="126">
        <f t="shared" si="1"/>
        <v>26.897682230142411</v>
      </c>
    </row>
    <row r="76" spans="1:8">
      <c r="A76" s="78">
        <f t="shared" si="2"/>
        <v>368.53900743340591</v>
      </c>
      <c r="B76" s="75">
        <v>135821</v>
      </c>
      <c r="C76" s="65">
        <v>90296</v>
      </c>
      <c r="E76" s="3">
        <v>51</v>
      </c>
      <c r="F76" s="3">
        <v>80938.937803084584</v>
      </c>
      <c r="G76" s="3">
        <v>7915.0621969154163</v>
      </c>
      <c r="H76" s="126">
        <f t="shared" si="1"/>
        <v>8.9079413385052071</v>
      </c>
    </row>
    <row r="77" spans="1:8">
      <c r="A77" s="78">
        <f t="shared" si="2"/>
        <v>335.42808469178607</v>
      </c>
      <c r="B77" s="75">
        <v>112512</v>
      </c>
      <c r="C77" s="65">
        <v>124744</v>
      </c>
      <c r="E77" s="3">
        <v>52</v>
      </c>
      <c r="F77" s="3">
        <v>76762.802504514315</v>
      </c>
      <c r="G77" s="3">
        <v>-21452.802504514315</v>
      </c>
      <c r="H77" s="126">
        <f t="shared" si="1"/>
        <v>38.786480753054263</v>
      </c>
    </row>
    <row r="78" spans="1:8">
      <c r="A78" s="78">
        <f t="shared" si="2"/>
        <v>301.2739617026337</v>
      </c>
      <c r="B78" s="75">
        <v>90766</v>
      </c>
      <c r="C78" s="65">
        <v>70946</v>
      </c>
      <c r="E78" s="3">
        <v>53</v>
      </c>
      <c r="F78" s="3">
        <v>51123.503380541908</v>
      </c>
      <c r="G78" s="3">
        <v>9874.496619458092</v>
      </c>
      <c r="H78" s="126">
        <f t="shared" si="1"/>
        <v>16.18823013780467</v>
      </c>
    </row>
    <row r="79" spans="1:8">
      <c r="A79" s="78">
        <f t="shared" si="2"/>
        <v>238.86607126170097</v>
      </c>
      <c r="B79" s="75">
        <v>57057</v>
      </c>
      <c r="C79" s="65">
        <v>41840</v>
      </c>
      <c r="E79" s="3">
        <v>54</v>
      </c>
      <c r="F79" s="3">
        <v>50989.533943851638</v>
      </c>
      <c r="G79" s="3">
        <v>6143.4660561483615</v>
      </c>
      <c r="H79" s="126">
        <f t="shared" si="1"/>
        <v>10.752920477041922</v>
      </c>
    </row>
    <row r="80" spans="1:8">
      <c r="A80" s="78">
        <f t="shared" si="2"/>
        <v>270.05925275761246</v>
      </c>
      <c r="B80" s="75">
        <v>72932</v>
      </c>
      <c r="C80" s="65">
        <v>60844</v>
      </c>
      <c r="E80" s="3">
        <v>55</v>
      </c>
      <c r="F80" s="3">
        <v>93435.172509432639</v>
      </c>
      <c r="G80" s="3">
        <v>33432.827490567361</v>
      </c>
      <c r="H80" s="126">
        <f t="shared" si="1"/>
        <v>26.352450965229501</v>
      </c>
    </row>
    <row r="81" spans="1:8">
      <c r="A81" s="78">
        <f t="shared" si="2"/>
        <v>326.79351278750931</v>
      </c>
      <c r="B81" s="75">
        <v>106794</v>
      </c>
      <c r="C81" s="65">
        <v>188561</v>
      </c>
      <c r="E81" s="3">
        <v>56</v>
      </c>
      <c r="F81" s="3">
        <v>56012.648787584199</v>
      </c>
      <c r="G81" s="3">
        <v>-7849.6487875841995</v>
      </c>
      <c r="H81" s="126">
        <f t="shared" si="1"/>
        <v>16.298089378951062</v>
      </c>
    </row>
    <row r="82" spans="1:8">
      <c r="A82" s="78">
        <f t="shared" si="2"/>
        <v>367.13893827814013</v>
      </c>
      <c r="B82" s="75">
        <v>134791</v>
      </c>
      <c r="C82" s="65">
        <v>163879</v>
      </c>
      <c r="E82" s="3">
        <v>57</v>
      </c>
      <c r="F82" s="3">
        <v>90865.883010847741</v>
      </c>
      <c r="G82" s="3">
        <v>-15101.883010847741</v>
      </c>
      <c r="H82" s="126">
        <f t="shared" si="1"/>
        <v>19.932795273279844</v>
      </c>
    </row>
    <row r="83" spans="1:8">
      <c r="A83" s="78">
        <f t="shared" si="2"/>
        <v>289.99310336626974</v>
      </c>
      <c r="B83" s="75">
        <v>84096</v>
      </c>
      <c r="C83" s="65">
        <v>66006</v>
      </c>
      <c r="E83" s="3">
        <v>58</v>
      </c>
      <c r="F83" s="3">
        <v>55841.633759417877</v>
      </c>
      <c r="G83" s="3">
        <v>11699.366240582123</v>
      </c>
      <c r="H83" s="126">
        <f t="shared" si="1"/>
        <v>17.321872996523776</v>
      </c>
    </row>
    <row r="84" spans="1:8">
      <c r="A84" s="78">
        <f t="shared" si="2"/>
        <v>554.13716713463646</v>
      </c>
      <c r="B84" s="75">
        <v>307068</v>
      </c>
      <c r="C84" s="65">
        <v>162572</v>
      </c>
      <c r="E84" s="3">
        <v>59</v>
      </c>
      <c r="F84" s="3">
        <v>60481.538350512506</v>
      </c>
      <c r="G84" s="3">
        <v>11134.461649487494</v>
      </c>
      <c r="H84" s="126">
        <f t="shared" si="1"/>
        <v>15.547449801004653</v>
      </c>
    </row>
    <row r="85" spans="1:8">
      <c r="A85" s="78">
        <f t="shared" si="2"/>
        <v>417.31642670760039</v>
      </c>
      <c r="B85" s="75">
        <v>174153</v>
      </c>
      <c r="C85" s="65">
        <v>110473</v>
      </c>
      <c r="E85" s="3">
        <v>60</v>
      </c>
      <c r="F85" s="3">
        <v>86833.368126321162</v>
      </c>
      <c r="G85" s="3">
        <v>-24351.368126321162</v>
      </c>
      <c r="H85" s="126">
        <f t="shared" si="1"/>
        <v>38.973413345157262</v>
      </c>
    </row>
    <row r="86" spans="1:8" ht="17" thickBot="1">
      <c r="A86" s="79">
        <f t="shared" si="2"/>
        <v>306.99837133118473</v>
      </c>
      <c r="B86" s="76">
        <v>94248</v>
      </c>
      <c r="C86" s="66">
        <v>56942</v>
      </c>
      <c r="E86" s="3">
        <v>61</v>
      </c>
      <c r="F86" s="3">
        <v>67663.423176720375</v>
      </c>
      <c r="G86" s="3">
        <v>-3208.4231767203746</v>
      </c>
      <c r="H86" s="126">
        <f t="shared" si="1"/>
        <v>4.9777723632307413</v>
      </c>
    </row>
    <row r="87" spans="1:8">
      <c r="E87" s="3">
        <v>62</v>
      </c>
      <c r="F87" s="3">
        <v>75326.906219668541</v>
      </c>
      <c r="G87" s="3">
        <v>-4933.9062196685409</v>
      </c>
      <c r="H87" s="126">
        <f t="shared" si="1"/>
        <v>7.0090864427834312</v>
      </c>
    </row>
    <row r="88" spans="1:8">
      <c r="E88" s="3">
        <v>63</v>
      </c>
      <c r="F88" s="3">
        <v>61142.525494808884</v>
      </c>
      <c r="G88" s="3">
        <v>-2516.5254948088841</v>
      </c>
      <c r="H88" s="126">
        <f t="shared" si="1"/>
        <v>4.2925075816342311</v>
      </c>
    </row>
    <row r="89" spans="1:8">
      <c r="E89" s="3">
        <v>64</v>
      </c>
      <c r="F89" s="3">
        <v>101185.11581704264</v>
      </c>
      <c r="G89" s="3">
        <v>29174.884182957365</v>
      </c>
      <c r="H89" s="126">
        <f t="shared" si="1"/>
        <v>22.380242545993685</v>
      </c>
    </row>
    <row r="90" spans="1:8">
      <c r="E90" s="3">
        <v>65</v>
      </c>
      <c r="F90" s="3">
        <v>112999.24374431536</v>
      </c>
      <c r="G90" s="3">
        <v>-33920.243744315361</v>
      </c>
      <c r="H90" s="126">
        <f t="shared" si="1"/>
        <v>42.894123274592957</v>
      </c>
    </row>
    <row r="91" spans="1:8">
      <c r="E91" s="3">
        <v>66</v>
      </c>
      <c r="F91" s="3">
        <v>57049.712570015967</v>
      </c>
      <c r="G91" s="3">
        <v>3365.2874299840332</v>
      </c>
      <c r="H91" s="126">
        <f t="shared" ref="H91:H110" si="3">ABS((C67-F91)/C67)*100</f>
        <v>5.5702845816172033</v>
      </c>
    </row>
    <row r="92" spans="1:8">
      <c r="E92" s="3">
        <v>67</v>
      </c>
      <c r="F92" s="3">
        <v>77126.573350277773</v>
      </c>
      <c r="G92" s="3">
        <v>-19943.573350277773</v>
      </c>
      <c r="H92" s="126">
        <f t="shared" si="3"/>
        <v>34.876752444393915</v>
      </c>
    </row>
    <row r="93" spans="1:8">
      <c r="E93" s="3">
        <v>68</v>
      </c>
      <c r="F93" s="3">
        <v>67281.071953488281</v>
      </c>
      <c r="G93" s="3">
        <v>-12113.071953488281</v>
      </c>
      <c r="H93" s="126">
        <f t="shared" si="3"/>
        <v>21.956699451653641</v>
      </c>
    </row>
    <row r="94" spans="1:8">
      <c r="E94" s="3">
        <v>69</v>
      </c>
      <c r="F94" s="3">
        <v>68396.051432114342</v>
      </c>
      <c r="G94" s="3">
        <v>-3690.0514321143419</v>
      </c>
      <c r="H94" s="126">
        <f t="shared" si="3"/>
        <v>5.7027963900014553</v>
      </c>
    </row>
    <row r="95" spans="1:8">
      <c r="E95" s="3">
        <v>70</v>
      </c>
      <c r="F95" s="3">
        <v>64766.580426350862</v>
      </c>
      <c r="G95" s="3">
        <v>13757.419573649138</v>
      </c>
      <c r="H95" s="126">
        <f t="shared" si="3"/>
        <v>17.5200188141831</v>
      </c>
    </row>
    <row r="96" spans="1:8">
      <c r="E96" s="3">
        <v>71</v>
      </c>
      <c r="F96" s="3">
        <v>70296.719833079595</v>
      </c>
      <c r="G96" s="3">
        <v>3571.2801669204055</v>
      </c>
      <c r="H96" s="126">
        <f t="shared" si="3"/>
        <v>4.8346783003741889</v>
      </c>
    </row>
    <row r="97" spans="5:8">
      <c r="E97" s="3">
        <v>72</v>
      </c>
      <c r="F97" s="3">
        <v>93521.812496162718</v>
      </c>
      <c r="G97" s="3">
        <v>28385.187503837282</v>
      </c>
      <c r="H97" s="126">
        <f t="shared" si="3"/>
        <v>23.284296639107911</v>
      </c>
    </row>
    <row r="98" spans="5:8">
      <c r="E98" s="3">
        <v>73</v>
      </c>
      <c r="F98" s="3">
        <v>74114.785824772771</v>
      </c>
      <c r="G98" s="3">
        <v>-6553.7858247727709</v>
      </c>
      <c r="H98" s="126">
        <f t="shared" si="3"/>
        <v>9.7005459137265149</v>
      </c>
    </row>
    <row r="99" spans="5:8">
      <c r="E99" s="3">
        <v>74</v>
      </c>
      <c r="F99" s="3">
        <v>69645.593118520381</v>
      </c>
      <c r="G99" s="3">
        <v>-9902.5931185203808</v>
      </c>
      <c r="H99" s="126">
        <f t="shared" si="3"/>
        <v>16.575319482651324</v>
      </c>
    </row>
    <row r="100" spans="5:8">
      <c r="E100" s="3">
        <v>75</v>
      </c>
      <c r="F100" s="3">
        <v>102091.46624662132</v>
      </c>
      <c r="G100" s="3">
        <v>-11795.466246621319</v>
      </c>
      <c r="H100" s="126">
        <f t="shared" si="3"/>
        <v>13.063110488417337</v>
      </c>
    </row>
    <row r="101" spans="5:8">
      <c r="E101" s="3">
        <v>76</v>
      </c>
      <c r="F101" s="3">
        <v>90025.157456000496</v>
      </c>
      <c r="G101" s="3">
        <v>34718.842543999504</v>
      </c>
      <c r="H101" s="126">
        <f t="shared" si="3"/>
        <v>27.832074123003515</v>
      </c>
    </row>
    <row r="102" spans="5:8">
      <c r="E102" s="3">
        <v>77</v>
      </c>
      <c r="F102" s="3">
        <v>77578.684801768643</v>
      </c>
      <c r="G102" s="3">
        <v>-6632.6848017686425</v>
      </c>
      <c r="H102" s="126">
        <f t="shared" si="3"/>
        <v>9.3489200261729248</v>
      </c>
    </row>
    <row r="103" spans="5:8">
      <c r="E103" s="3">
        <v>78</v>
      </c>
      <c r="F103" s="3">
        <v>54835.951749361746</v>
      </c>
      <c r="G103" s="3">
        <v>-12995.951749361746</v>
      </c>
      <c r="H103" s="126">
        <f t="shared" si="3"/>
        <v>31.061070146658093</v>
      </c>
    </row>
    <row r="104" spans="5:8">
      <c r="E104" s="3">
        <v>79</v>
      </c>
      <c r="F104" s="3">
        <v>66203.395750505122</v>
      </c>
      <c r="G104" s="3">
        <v>-5359.3957505051221</v>
      </c>
      <c r="H104" s="126">
        <f t="shared" si="3"/>
        <v>8.8084211269888932</v>
      </c>
    </row>
    <row r="105" spans="5:8">
      <c r="E105" s="3">
        <v>80</v>
      </c>
      <c r="F105" s="3">
        <v>86878.53989765438</v>
      </c>
      <c r="G105" s="3">
        <v>101682.46010234562</v>
      </c>
      <c r="H105" s="126">
        <f t="shared" si="3"/>
        <v>53.925498964444195</v>
      </c>
    </row>
    <row r="106" spans="5:8">
      <c r="E106" s="3">
        <v>81</v>
      </c>
      <c r="F106" s="3">
        <v>101581.25193192252</v>
      </c>
      <c r="G106" s="3">
        <v>62297.748068077475</v>
      </c>
      <c r="H106" s="126">
        <f t="shared" si="3"/>
        <v>38.014479016882866</v>
      </c>
    </row>
    <row r="107" spans="5:8">
      <c r="E107" s="3">
        <v>82</v>
      </c>
      <c r="F107" s="3">
        <v>73467.705437888872</v>
      </c>
      <c r="G107" s="3">
        <v>-7461.7054378888715</v>
      </c>
      <c r="H107" s="126">
        <f t="shared" si="3"/>
        <v>11.304586610139793</v>
      </c>
    </row>
    <row r="108" spans="5:8">
      <c r="E108" s="3">
        <v>83</v>
      </c>
      <c r="F108" s="3">
        <v>169727.29516633356</v>
      </c>
      <c r="G108" s="3">
        <v>-7155.2951663335552</v>
      </c>
      <c r="H108" s="126">
        <f t="shared" si="3"/>
        <v>4.4013084456939415</v>
      </c>
    </row>
    <row r="109" spans="5:8">
      <c r="E109" s="3">
        <v>84</v>
      </c>
      <c r="F109" s="3">
        <v>119866.97215942385</v>
      </c>
      <c r="G109" s="3">
        <v>-9393.9721594238508</v>
      </c>
      <c r="H109" s="126">
        <f t="shared" si="3"/>
        <v>8.5034100272680657</v>
      </c>
    </row>
    <row r="110" spans="5:8" ht="17" thickBot="1">
      <c r="E110" s="4">
        <v>85</v>
      </c>
      <c r="F110" s="4">
        <v>79664.778709845603</v>
      </c>
      <c r="G110" s="4">
        <v>-22722.778709845603</v>
      </c>
      <c r="H110" s="126">
        <f t="shared" si="3"/>
        <v>39.90512927161955</v>
      </c>
    </row>
    <row r="111" spans="5:8">
      <c r="H111" s="126">
        <f>SUM(H26:H110)</f>
        <v>1603.6608811234819</v>
      </c>
    </row>
    <row r="112" spans="5:8" ht="17" thickBot="1">
      <c r="H112" s="126">
        <f>COUNT(H26:H110)</f>
        <v>85</v>
      </c>
    </row>
    <row r="113" spans="6:8" ht="17" thickBot="1">
      <c r="F113" s="236" t="s">
        <v>34</v>
      </c>
      <c r="G113" s="237"/>
      <c r="H113" s="127">
        <f>H111/H112</f>
        <v>18.866598601452729</v>
      </c>
    </row>
  </sheetData>
  <mergeCells count="4">
    <mergeCell ref="H21:H22"/>
    <mergeCell ref="I21:K22"/>
    <mergeCell ref="K13:M15"/>
    <mergeCell ref="F113:G1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580B-9141-B942-8B29-11DB2113A39D}">
  <dimension ref="A1:P125"/>
  <sheetViews>
    <sheetView topLeftCell="E1" zoomScale="150" workbookViewId="0">
      <selection activeCell="I6" sqref="I6"/>
    </sheetView>
  </sheetViews>
  <sheetFormatPr baseColWidth="10" defaultRowHeight="16"/>
  <cols>
    <col min="6" max="6" width="25" bestFit="1" customWidth="1"/>
    <col min="7" max="7" width="20" bestFit="1" customWidth="1"/>
    <col min="8" max="8" width="21.6640625" bestFit="1" customWidth="1"/>
    <col min="9" max="9" width="20.1640625" bestFit="1" customWidth="1"/>
    <col min="10" max="10" width="12.83203125" bestFit="1" customWidth="1"/>
    <col min="11" max="11" width="14.1640625" bestFit="1" customWidth="1"/>
    <col min="12" max="12" width="12.83203125" bestFit="1" customWidth="1"/>
    <col min="13" max="13" width="14.33203125" bestFit="1" customWidth="1"/>
    <col min="14" max="14" width="14.1640625" bestFit="1" customWidth="1"/>
    <col min="15" max="15" width="13.5" bestFit="1" customWidth="1"/>
  </cols>
  <sheetData>
    <row r="1" spans="1:14" ht="17" thickBot="1">
      <c r="A1" s="61" t="s">
        <v>140</v>
      </c>
      <c r="B1" s="61" t="s">
        <v>136</v>
      </c>
      <c r="C1" s="62" t="s">
        <v>135</v>
      </c>
      <c r="D1" s="61" t="s">
        <v>141</v>
      </c>
    </row>
    <row r="2" spans="1:14">
      <c r="A2" s="87">
        <f>LN(B2)</f>
        <v>11.253493895944503</v>
      </c>
      <c r="B2" s="63">
        <v>77149</v>
      </c>
      <c r="C2" s="63">
        <v>55280</v>
      </c>
      <c r="D2" s="84">
        <f>LN(C2)</f>
        <v>10.920166458441551</v>
      </c>
      <c r="F2" t="s">
        <v>0</v>
      </c>
    </row>
    <row r="3" spans="1:14" ht="17" thickBot="1">
      <c r="A3" s="88">
        <f t="shared" ref="A3:A66" si="0">LN(B3)</f>
        <v>11.412464040256195</v>
      </c>
      <c r="B3" s="82">
        <v>90442</v>
      </c>
      <c r="C3" s="82">
        <v>87040</v>
      </c>
      <c r="D3" s="85">
        <f t="shared" ref="D3:D66" si="1">LN(C3)</f>
        <v>11.374123062089769</v>
      </c>
    </row>
    <row r="4" spans="1:14">
      <c r="A4" s="88">
        <f t="shared" si="0"/>
        <v>11.581023269337425</v>
      </c>
      <c r="B4" s="82">
        <v>107047</v>
      </c>
      <c r="C4" s="82">
        <v>86404</v>
      </c>
      <c r="D4" s="85">
        <f t="shared" si="1"/>
        <v>11.366789250016803</v>
      </c>
      <c r="F4" s="6" t="s">
        <v>1</v>
      </c>
      <c r="G4" s="6"/>
    </row>
    <row r="5" spans="1:14">
      <c r="A5" s="88">
        <f t="shared" si="0"/>
        <v>10.991527483599203</v>
      </c>
      <c r="B5" s="82">
        <v>59369</v>
      </c>
      <c r="C5" s="82">
        <v>62551</v>
      </c>
      <c r="D5" s="85">
        <f t="shared" si="1"/>
        <v>11.043737502977494</v>
      </c>
      <c r="F5" s="3" t="s">
        <v>2</v>
      </c>
      <c r="G5" s="3">
        <v>0.70903854589082138</v>
      </c>
    </row>
    <row r="6" spans="1:14">
      <c r="A6" s="88">
        <f t="shared" si="0"/>
        <v>11.333272344730547</v>
      </c>
      <c r="B6" s="82">
        <v>83556</v>
      </c>
      <c r="C6" s="82">
        <v>65822</v>
      </c>
      <c r="D6" s="85">
        <f t="shared" si="1"/>
        <v>11.09470940793663</v>
      </c>
      <c r="F6" s="121" t="s">
        <v>3</v>
      </c>
      <c r="G6" s="121">
        <v>0.50273565955897037</v>
      </c>
      <c r="H6" s="122">
        <f>G6</f>
        <v>0.50273565955897037</v>
      </c>
    </row>
    <row r="7" spans="1:14">
      <c r="A7" s="88">
        <f t="shared" si="0"/>
        <v>11.161181202361705</v>
      </c>
      <c r="B7" s="82">
        <v>70346</v>
      </c>
      <c r="C7" s="82">
        <v>58487</v>
      </c>
      <c r="D7" s="85">
        <f t="shared" si="1"/>
        <v>10.976559786302708</v>
      </c>
      <c r="F7" s="3" t="s">
        <v>4</v>
      </c>
      <c r="G7" s="3">
        <v>0.49674452292715077</v>
      </c>
    </row>
    <row r="8" spans="1:14">
      <c r="A8" s="88">
        <f t="shared" si="0"/>
        <v>11.272203311381725</v>
      </c>
      <c r="B8" s="82">
        <v>78606</v>
      </c>
      <c r="C8" s="82">
        <v>64721</v>
      </c>
      <c r="D8" s="85">
        <f t="shared" si="1"/>
        <v>11.077841002787295</v>
      </c>
      <c r="F8" s="3" t="s">
        <v>5</v>
      </c>
      <c r="G8" s="3">
        <v>0.22713624667176766</v>
      </c>
    </row>
    <row r="9" spans="1:14" ht="17" thickBot="1">
      <c r="A9" s="88">
        <f t="shared" si="0"/>
        <v>11.377930144182711</v>
      </c>
      <c r="B9" s="82">
        <v>87372</v>
      </c>
      <c r="C9" s="82">
        <v>61254</v>
      </c>
      <c r="D9" s="85">
        <f t="shared" si="1"/>
        <v>11.022784432397071</v>
      </c>
      <c r="F9" s="4" t="s">
        <v>6</v>
      </c>
      <c r="G9" s="4">
        <v>85</v>
      </c>
    </row>
    <row r="10" spans="1:14">
      <c r="A10" s="88">
        <f t="shared" si="0"/>
        <v>11.361032235184185</v>
      </c>
      <c r="B10" s="82">
        <v>85908</v>
      </c>
      <c r="C10" s="82">
        <v>71493</v>
      </c>
      <c r="D10" s="85">
        <f t="shared" si="1"/>
        <v>11.177354821791473</v>
      </c>
    </row>
    <row r="11" spans="1:14" ht="17" thickBot="1">
      <c r="A11" s="88">
        <f t="shared" si="0"/>
        <v>11.248920855872804</v>
      </c>
      <c r="B11" s="82">
        <v>76797</v>
      </c>
      <c r="C11" s="82">
        <v>63353</v>
      </c>
      <c r="D11" s="85">
        <f t="shared" si="1"/>
        <v>11.056477540586986</v>
      </c>
      <c r="F11" t="s">
        <v>7</v>
      </c>
    </row>
    <row r="12" spans="1:14">
      <c r="A12" s="88">
        <f t="shared" si="0"/>
        <v>11.373835796568274</v>
      </c>
      <c r="B12" s="82">
        <v>87015</v>
      </c>
      <c r="C12" s="82">
        <v>78795</v>
      </c>
      <c r="D12" s="85">
        <f t="shared" si="1"/>
        <v>11.274604822056171</v>
      </c>
      <c r="F12" s="5"/>
      <c r="G12" s="5" t="s">
        <v>12</v>
      </c>
      <c r="H12" s="5" t="s">
        <v>13</v>
      </c>
      <c r="I12" s="5" t="s">
        <v>14</v>
      </c>
      <c r="J12" s="5" t="s">
        <v>15</v>
      </c>
      <c r="K12" s="5" t="s">
        <v>16</v>
      </c>
    </row>
    <row r="13" spans="1:14">
      <c r="A13" s="88">
        <f t="shared" si="0"/>
        <v>11.327860147505211</v>
      </c>
      <c r="B13" s="82">
        <v>83105</v>
      </c>
      <c r="C13" s="82">
        <v>85190</v>
      </c>
      <c r="D13" s="85">
        <f t="shared" si="1"/>
        <v>11.352639335036887</v>
      </c>
      <c r="F13" s="3" t="s">
        <v>8</v>
      </c>
      <c r="G13" s="3">
        <v>1</v>
      </c>
      <c r="H13" s="3">
        <v>4.3291572099092255</v>
      </c>
      <c r="I13" s="3">
        <v>4.3291572099092255</v>
      </c>
      <c r="J13" s="3">
        <v>83.913235576848962</v>
      </c>
      <c r="K13" s="120">
        <v>3.1180185416115258E-14</v>
      </c>
      <c r="L13" s="217" t="s">
        <v>147</v>
      </c>
      <c r="M13" s="217"/>
      <c r="N13" s="217"/>
    </row>
    <row r="14" spans="1:14">
      <c r="A14" s="88">
        <f t="shared" si="0"/>
        <v>11.232999899557035</v>
      </c>
      <c r="B14" s="82">
        <v>75584</v>
      </c>
      <c r="C14" s="82">
        <v>49722</v>
      </c>
      <c r="D14" s="85">
        <f t="shared" si="1"/>
        <v>10.814202770077097</v>
      </c>
      <c r="F14" s="3" t="s">
        <v>9</v>
      </c>
      <c r="G14" s="3">
        <v>83</v>
      </c>
      <c r="H14" s="3">
        <v>4.2820425878274611</v>
      </c>
      <c r="I14" s="3">
        <v>5.1590874552138087E-2</v>
      </c>
      <c r="J14" s="3"/>
      <c r="K14" s="3"/>
      <c r="L14" s="217"/>
      <c r="M14" s="217"/>
      <c r="N14" s="217"/>
    </row>
    <row r="15" spans="1:14" ht="17" thickBot="1">
      <c r="A15" s="88">
        <f t="shared" si="0"/>
        <v>11.281018627985862</v>
      </c>
      <c r="B15" s="82">
        <v>79302</v>
      </c>
      <c r="C15" s="82">
        <v>87154</v>
      </c>
      <c r="D15" s="85">
        <f t="shared" si="1"/>
        <v>11.375431947772114</v>
      </c>
      <c r="F15" s="4" t="s">
        <v>10</v>
      </c>
      <c r="G15" s="4">
        <v>84</v>
      </c>
      <c r="H15" s="4">
        <v>8.6111997977366865</v>
      </c>
      <c r="I15" s="4"/>
      <c r="J15" s="4"/>
      <c r="K15" s="4"/>
      <c r="L15" s="217"/>
      <c r="M15" s="217"/>
      <c r="N15" s="217"/>
    </row>
    <row r="16" spans="1:14" ht="17" thickBot="1">
      <c r="A16" s="88">
        <f t="shared" si="0"/>
        <v>11.192968103966658</v>
      </c>
      <c r="B16" s="82">
        <v>72618</v>
      </c>
      <c r="C16" s="82">
        <v>46507</v>
      </c>
      <c r="D16" s="85">
        <f t="shared" si="1"/>
        <v>10.747358117880204</v>
      </c>
    </row>
    <row r="17" spans="1:15">
      <c r="A17" s="88">
        <f t="shared" si="0"/>
        <v>11.647465099148372</v>
      </c>
      <c r="B17" s="82">
        <v>114401</v>
      </c>
      <c r="C17" s="82">
        <v>66608</v>
      </c>
      <c r="D17" s="85">
        <f t="shared" si="1"/>
        <v>11.106579969434756</v>
      </c>
      <c r="F17" s="5"/>
      <c r="G17" s="5" t="s">
        <v>17</v>
      </c>
      <c r="H17" s="5" t="s">
        <v>5</v>
      </c>
      <c r="I17" s="5" t="s">
        <v>18</v>
      </c>
      <c r="J17" s="5" t="s">
        <v>19</v>
      </c>
      <c r="K17" s="5" t="s">
        <v>20</v>
      </c>
      <c r="L17" s="5" t="s">
        <v>21</v>
      </c>
      <c r="M17" s="5" t="s">
        <v>22</v>
      </c>
      <c r="N17" s="5" t="s">
        <v>23</v>
      </c>
    </row>
    <row r="18" spans="1:15">
      <c r="A18" s="88">
        <f t="shared" si="0"/>
        <v>11.292789885170324</v>
      </c>
      <c r="B18" s="82">
        <v>80241</v>
      </c>
      <c r="C18" s="82">
        <v>74197</v>
      </c>
      <c r="D18" s="85">
        <f t="shared" si="1"/>
        <v>11.214478997071259</v>
      </c>
      <c r="F18" s="3" t="s">
        <v>11</v>
      </c>
      <c r="G18" s="3">
        <v>3.6638413887994767</v>
      </c>
      <c r="H18" s="3">
        <v>0.82216565990477897</v>
      </c>
      <c r="I18" s="3">
        <v>4.4563298705808423</v>
      </c>
      <c r="J18" s="3">
        <v>2.586376352374655E-5</v>
      </c>
      <c r="K18" s="3">
        <v>2.0285869586076992</v>
      </c>
      <c r="L18" s="3">
        <v>5.2990958189912547</v>
      </c>
      <c r="M18" s="3">
        <v>2.0285869586076992</v>
      </c>
      <c r="N18" s="3">
        <v>5.2990958189912547</v>
      </c>
    </row>
    <row r="19" spans="1:15" ht="17" thickBot="1">
      <c r="A19" s="88">
        <f t="shared" si="0"/>
        <v>11.740722173537083</v>
      </c>
      <c r="B19" s="82">
        <v>125583</v>
      </c>
      <c r="C19" s="82">
        <v>132710</v>
      </c>
      <c r="D19" s="85">
        <f t="shared" si="1"/>
        <v>11.795921575431295</v>
      </c>
      <c r="F19" s="4" t="s">
        <v>140</v>
      </c>
      <c r="G19" s="4">
        <v>0.66203416750707211</v>
      </c>
      <c r="H19" s="4">
        <v>7.2271184099173963E-2</v>
      </c>
      <c r="I19" s="4">
        <v>9.1604167796475746</v>
      </c>
      <c r="J19" s="4">
        <v>3.1180185416116047E-14</v>
      </c>
      <c r="K19" s="4">
        <v>0.51828968906818029</v>
      </c>
      <c r="L19" s="4">
        <v>0.80577864594596393</v>
      </c>
      <c r="M19" s="4">
        <v>0.51828968906818029</v>
      </c>
      <c r="N19" s="4">
        <v>0.80577864594596393</v>
      </c>
    </row>
    <row r="20" spans="1:15" ht="17" thickBot="1">
      <c r="A20" s="88">
        <f t="shared" si="0"/>
        <v>11.117613637416579</v>
      </c>
      <c r="B20" s="82">
        <v>67347</v>
      </c>
      <c r="C20" s="82">
        <v>48488</v>
      </c>
      <c r="D20" s="85">
        <f t="shared" si="1"/>
        <v>10.789071623631122</v>
      </c>
      <c r="I20">
        <f>_xlfn.T.INV.2T(0.05,G14)</f>
        <v>1.9889597801751635</v>
      </c>
    </row>
    <row r="21" spans="1:15">
      <c r="A21" s="88">
        <f t="shared" si="0"/>
        <v>11.335364558277762</v>
      </c>
      <c r="B21" s="82">
        <v>83731</v>
      </c>
      <c r="C21" s="82">
        <v>78202</v>
      </c>
      <c r="D21" s="85">
        <f t="shared" si="1"/>
        <v>11.267050501653927</v>
      </c>
      <c r="I21" s="247" t="s">
        <v>143</v>
      </c>
      <c r="J21" s="222"/>
      <c r="K21" s="224"/>
      <c r="L21" s="39"/>
    </row>
    <row r="22" spans="1:15" ht="17" thickBot="1">
      <c r="A22" s="88">
        <f t="shared" si="0"/>
        <v>11.328617937441217</v>
      </c>
      <c r="B22" s="82">
        <v>83168</v>
      </c>
      <c r="C22" s="82">
        <v>58255</v>
      </c>
      <c r="D22" s="85">
        <f t="shared" si="1"/>
        <v>10.972585204654042</v>
      </c>
      <c r="I22" s="248"/>
      <c r="J22" s="225"/>
      <c r="K22" s="227"/>
      <c r="L22" s="39"/>
    </row>
    <row r="23" spans="1:15" ht="17" thickBot="1">
      <c r="A23" s="88">
        <f t="shared" si="0"/>
        <v>11.187929127603994</v>
      </c>
      <c r="B23" s="82">
        <v>72253</v>
      </c>
      <c r="C23" s="82">
        <v>56898</v>
      </c>
      <c r="D23" s="85">
        <f t="shared" si="1"/>
        <v>10.949015470111782</v>
      </c>
      <c r="F23" t="s">
        <v>25</v>
      </c>
      <c r="I23" s="110" t="s">
        <v>144</v>
      </c>
      <c r="J23" s="111">
        <f>EXP(G18)</f>
        <v>39.01091149025693</v>
      </c>
    </row>
    <row r="24" spans="1:15" ht="17" thickBot="1">
      <c r="A24" s="88">
        <f t="shared" si="0"/>
        <v>12.125984520158603</v>
      </c>
      <c r="B24" s="82">
        <v>184607</v>
      </c>
      <c r="C24" s="82">
        <v>70410</v>
      </c>
      <c r="D24" s="85">
        <f t="shared" si="1"/>
        <v>11.16209057751318</v>
      </c>
      <c r="I24" s="112" t="s">
        <v>145</v>
      </c>
      <c r="J24" s="113">
        <v>0.66203416800000003</v>
      </c>
      <c r="M24" s="251" t="s">
        <v>151</v>
      </c>
      <c r="N24" s="252"/>
      <c r="O24" s="253"/>
    </row>
    <row r="25" spans="1:15" ht="17" thickBot="1">
      <c r="A25" s="88">
        <f t="shared" si="0"/>
        <v>11.592632731774382</v>
      </c>
      <c r="B25" s="82">
        <v>108297</v>
      </c>
      <c r="C25" s="82">
        <v>95026</v>
      </c>
      <c r="D25" s="85">
        <f t="shared" si="1"/>
        <v>11.461905817348512</v>
      </c>
      <c r="F25" s="5" t="s">
        <v>26</v>
      </c>
      <c r="G25" s="5" t="s">
        <v>142</v>
      </c>
      <c r="H25" s="5" t="s">
        <v>28</v>
      </c>
      <c r="I25" s="123" t="s">
        <v>150</v>
      </c>
      <c r="J25" s="123" t="s">
        <v>148</v>
      </c>
      <c r="L25" s="128"/>
      <c r="M25" s="132" t="s">
        <v>136</v>
      </c>
      <c r="N25" s="133" t="s">
        <v>140</v>
      </c>
      <c r="O25" s="134" t="s">
        <v>152</v>
      </c>
    </row>
    <row r="26" spans="1:15">
      <c r="A26" s="88">
        <f t="shared" si="0"/>
        <v>10.938556380385453</v>
      </c>
      <c r="B26" s="82">
        <v>56306</v>
      </c>
      <c r="C26" s="82">
        <v>63209</v>
      </c>
      <c r="D26" s="85">
        <f t="shared" si="1"/>
        <v>11.054201975059602</v>
      </c>
      <c r="F26" s="3">
        <v>1</v>
      </c>
      <c r="G26" s="3">
        <v>11.114038851747013</v>
      </c>
      <c r="H26" s="3">
        <v>-0.1938723933054618</v>
      </c>
      <c r="I26">
        <f>ABS((J26-C2)/C2)*100</f>
        <v>21.394136602714276</v>
      </c>
      <c r="J26">
        <f>EXP(G26)</f>
        <v>67106.678713980451</v>
      </c>
      <c r="M26" s="140">
        <v>77149</v>
      </c>
      <c r="N26" s="141">
        <f>LN(M26)</f>
        <v>11.253493895944503</v>
      </c>
      <c r="O26" s="142">
        <f>(N26-$N$111)^2</f>
        <v>1.3810367745501654E-2</v>
      </c>
    </row>
    <row r="27" spans="1:15">
      <c r="A27" s="88">
        <f t="shared" si="0"/>
        <v>11.169180848581908</v>
      </c>
      <c r="B27" s="82">
        <v>70911</v>
      </c>
      <c r="C27" s="82">
        <v>65127</v>
      </c>
      <c r="D27" s="85">
        <f t="shared" si="1"/>
        <v>11.084094488756865</v>
      </c>
      <c r="F27" s="3">
        <v>2</v>
      </c>
      <c r="G27" s="3">
        <v>11.219282518894882</v>
      </c>
      <c r="H27" s="3">
        <v>0.15484054319488649</v>
      </c>
      <c r="I27">
        <f t="shared" ref="I27:I90" si="2">ABS((J27-C3)/C3)*100</f>
        <v>14.344825039994744</v>
      </c>
      <c r="J27">
        <f t="shared" ref="J27:J90" si="3">EXP(G27)</f>
        <v>74554.264285188576</v>
      </c>
      <c r="M27" s="143">
        <v>90442</v>
      </c>
      <c r="N27" s="135">
        <f t="shared" ref="N27:N90" si="4">LN(M27)</f>
        <v>11.412464040256195</v>
      </c>
      <c r="O27" s="144">
        <f t="shared" ref="O27:O90" si="5">(N27-$N$111)^2</f>
        <v>1.718319978180699E-3</v>
      </c>
    </row>
    <row r="28" spans="1:15">
      <c r="A28" s="88">
        <f t="shared" si="0"/>
        <v>11.283122287490261</v>
      </c>
      <c r="B28" s="82">
        <v>79469</v>
      </c>
      <c r="C28" s="82">
        <v>82026</v>
      </c>
      <c r="D28" s="85">
        <f t="shared" si="1"/>
        <v>11.314791549160047</v>
      </c>
      <c r="F28" s="3">
        <v>3</v>
      </c>
      <c r="G28" s="3">
        <v>11.33087448779531</v>
      </c>
      <c r="H28" s="3">
        <v>3.5914762221493035E-2</v>
      </c>
      <c r="I28">
        <f t="shared" si="2"/>
        <v>3.5277479216815935</v>
      </c>
      <c r="J28">
        <f t="shared" si="3"/>
        <v>83355.884685750236</v>
      </c>
      <c r="M28" s="143">
        <v>107047</v>
      </c>
      <c r="N28" s="135">
        <f t="shared" si="4"/>
        <v>11.581023269337425</v>
      </c>
      <c r="O28" s="144">
        <f t="shared" si="5"/>
        <v>4.4104978139222782E-2</v>
      </c>
    </row>
    <row r="29" spans="1:15">
      <c r="A29" s="88">
        <f t="shared" si="0"/>
        <v>11.438363543643323</v>
      </c>
      <c r="B29" s="82">
        <v>92815</v>
      </c>
      <c r="C29" s="82">
        <v>67750</v>
      </c>
      <c r="D29" s="85">
        <f t="shared" si="1"/>
        <v>11.123579738741947</v>
      </c>
      <c r="F29" s="3">
        <v>4</v>
      </c>
      <c r="G29" s="3">
        <v>10.940608136035177</v>
      </c>
      <c r="H29" s="3">
        <v>0.10312936694231745</v>
      </c>
      <c r="I29">
        <f t="shared" si="2"/>
        <v>9.7989724378039966</v>
      </c>
      <c r="J29">
        <f t="shared" si="3"/>
        <v>56421.644750429223</v>
      </c>
      <c r="M29" s="143">
        <v>59369</v>
      </c>
      <c r="N29" s="135">
        <f t="shared" si="4"/>
        <v>10.991527483599203</v>
      </c>
      <c r="O29" s="144">
        <f t="shared" si="5"/>
        <v>0.14400805567857475</v>
      </c>
    </row>
    <row r="30" spans="1:15">
      <c r="A30" s="88">
        <f t="shared" si="0"/>
        <v>11.779358364382835</v>
      </c>
      <c r="B30" s="82">
        <v>130530</v>
      </c>
      <c r="C30" s="82">
        <v>156881</v>
      </c>
      <c r="D30" s="85">
        <f t="shared" si="1"/>
        <v>11.963242835148739</v>
      </c>
      <c r="F30" s="3">
        <v>5</v>
      </c>
      <c r="G30" s="3">
        <v>11.166854910674088</v>
      </c>
      <c r="H30" s="3">
        <v>-7.214550273745779E-2</v>
      </c>
      <c r="I30">
        <f t="shared" si="2"/>
        <v>7.4811720734538945</v>
      </c>
      <c r="J30">
        <f t="shared" si="3"/>
        <v>70746.257082188822</v>
      </c>
      <c r="M30" s="143">
        <v>83556</v>
      </c>
      <c r="N30" s="135">
        <f t="shared" si="4"/>
        <v>11.333272344730547</v>
      </c>
      <c r="O30" s="144">
        <f t="shared" si="5"/>
        <v>1.4242375726993667E-3</v>
      </c>
    </row>
    <row r="31" spans="1:15">
      <c r="A31" s="88">
        <f t="shared" si="0"/>
        <v>11.613557820474762</v>
      </c>
      <c r="B31" s="82">
        <v>110587</v>
      </c>
      <c r="C31" s="82">
        <v>99205</v>
      </c>
      <c r="D31" s="85">
        <f t="shared" si="1"/>
        <v>11.504943695228571</v>
      </c>
      <c r="F31" s="3">
        <v>6</v>
      </c>
      <c r="G31" s="3">
        <v>11.052924694500589</v>
      </c>
      <c r="H31" s="3">
        <v>-7.6364908197881221E-2</v>
      </c>
      <c r="I31">
        <f t="shared" si="2"/>
        <v>7.9356368290784172</v>
      </c>
      <c r="J31">
        <f t="shared" si="3"/>
        <v>63128.315912223094</v>
      </c>
      <c r="M31" s="143">
        <v>70346</v>
      </c>
      <c r="N31" s="135">
        <f t="shared" si="4"/>
        <v>11.161181202361705</v>
      </c>
      <c r="O31" s="144">
        <f t="shared" si="5"/>
        <v>4.4028718958141345E-2</v>
      </c>
    </row>
    <row r="32" spans="1:15">
      <c r="A32" s="88">
        <f t="shared" si="0"/>
        <v>11.854108019178414</v>
      </c>
      <c r="B32" s="82">
        <v>140661</v>
      </c>
      <c r="C32" s="82">
        <v>114277</v>
      </c>
      <c r="D32" s="85">
        <f t="shared" si="1"/>
        <v>11.646380604687572</v>
      </c>
      <c r="F32" s="3">
        <v>7</v>
      </c>
      <c r="G32" s="3">
        <v>11.126425124020539</v>
      </c>
      <c r="H32" s="3">
        <v>-4.8584121233243849E-2</v>
      </c>
      <c r="I32">
        <f t="shared" si="2"/>
        <v>4.9783677203660623</v>
      </c>
      <c r="J32">
        <f t="shared" si="3"/>
        <v>67943.049372298119</v>
      </c>
      <c r="M32" s="143">
        <v>78606</v>
      </c>
      <c r="N32" s="135">
        <f t="shared" si="4"/>
        <v>11.272203311381725</v>
      </c>
      <c r="O32" s="144">
        <f t="shared" si="5"/>
        <v>9.7630417278615298E-3</v>
      </c>
    </row>
    <row r="33" spans="1:15">
      <c r="A33" s="88">
        <f t="shared" si="0"/>
        <v>11.462042612655594</v>
      </c>
      <c r="B33" s="82">
        <v>95039</v>
      </c>
      <c r="C33" s="82">
        <v>135206</v>
      </c>
      <c r="D33" s="85">
        <f t="shared" si="1"/>
        <v>11.814554820304521</v>
      </c>
      <c r="F33" s="3">
        <v>8</v>
      </c>
      <c r="G33" s="3">
        <v>11.1964198997571</v>
      </c>
      <c r="H33" s="3">
        <v>-0.17363546736002888</v>
      </c>
      <c r="I33">
        <f t="shared" si="2"/>
        <v>18.962183078333425</v>
      </c>
      <c r="J33">
        <f t="shared" si="3"/>
        <v>72869.095622802357</v>
      </c>
      <c r="M33" s="143">
        <v>87372</v>
      </c>
      <c r="N33" s="135">
        <f t="shared" si="4"/>
        <v>11.377930144182711</v>
      </c>
      <c r="O33" s="144">
        <f t="shared" si="5"/>
        <v>4.7868786389707452E-5</v>
      </c>
    </row>
    <row r="34" spans="1:15">
      <c r="A34" s="88">
        <f t="shared" si="0"/>
        <v>11.565897349736334</v>
      </c>
      <c r="B34" s="82">
        <v>105440</v>
      </c>
      <c r="C34" s="82">
        <v>69546</v>
      </c>
      <c r="D34" s="85">
        <f t="shared" si="1"/>
        <v>11.1497436831168</v>
      </c>
      <c r="F34" s="3">
        <v>9</v>
      </c>
      <c r="G34" s="3">
        <v>11.18523290664065</v>
      </c>
      <c r="H34" s="3">
        <v>-7.8780848491764033E-3</v>
      </c>
      <c r="I34">
        <f t="shared" si="2"/>
        <v>0.7909198611572944</v>
      </c>
      <c r="J34">
        <f t="shared" si="3"/>
        <v>72058.452336337185</v>
      </c>
      <c r="M34" s="143">
        <v>85908</v>
      </c>
      <c r="N34" s="135">
        <f t="shared" si="4"/>
        <v>11.361032235184185</v>
      </c>
      <c r="O34" s="144">
        <f t="shared" si="5"/>
        <v>9.958406890405633E-5</v>
      </c>
    </row>
    <row r="35" spans="1:15">
      <c r="A35" s="88">
        <f t="shared" si="0"/>
        <v>11.290606573530575</v>
      </c>
      <c r="B35" s="82">
        <v>80066</v>
      </c>
      <c r="C35" s="82">
        <v>62975</v>
      </c>
      <c r="D35" s="85">
        <f t="shared" si="1"/>
        <v>11.050493101220811</v>
      </c>
      <c r="F35" s="3">
        <v>10</v>
      </c>
      <c r="G35" s="3">
        <v>11.111011342970169</v>
      </c>
      <c r="H35" s="3">
        <v>-5.4533802383183172E-2</v>
      </c>
      <c r="I35">
        <f t="shared" si="2"/>
        <v>5.6048172755406771</v>
      </c>
      <c r="J35">
        <f t="shared" si="3"/>
        <v>66903.819888573285</v>
      </c>
      <c r="M35" s="143">
        <v>76797</v>
      </c>
      <c r="N35" s="135">
        <f t="shared" si="4"/>
        <v>11.248920855872804</v>
      </c>
      <c r="O35" s="144">
        <f t="shared" si="5"/>
        <v>1.4906105106455417E-2</v>
      </c>
    </row>
    <row r="36" spans="1:15">
      <c r="A36" s="88">
        <f t="shared" si="0"/>
        <v>11.640306734297321</v>
      </c>
      <c r="B36" s="82">
        <v>113585</v>
      </c>
      <c r="C36" s="82">
        <v>76770</v>
      </c>
      <c r="D36" s="85">
        <f t="shared" si="1"/>
        <v>11.248569217821943</v>
      </c>
      <c r="F36" s="3">
        <v>11</v>
      </c>
      <c r="G36" s="3">
        <v>11.19370930174269</v>
      </c>
      <c r="H36" s="3">
        <v>8.0895520313481128E-2</v>
      </c>
      <c r="I36">
        <f t="shared" si="2"/>
        <v>7.7709953014090098</v>
      </c>
      <c r="J36">
        <f t="shared" si="3"/>
        <v>72671.84425225477</v>
      </c>
      <c r="M36" s="143">
        <v>87015</v>
      </c>
      <c r="N36" s="135">
        <f t="shared" si="4"/>
        <v>11.373835796568274</v>
      </c>
      <c r="O36" s="144">
        <f t="shared" si="5"/>
        <v>7.9771201746648107E-6</v>
      </c>
    </row>
    <row r="37" spans="1:15">
      <c r="A37" s="88">
        <f t="shared" si="0"/>
        <v>11.43276691725416</v>
      </c>
      <c r="B37" s="82">
        <v>92297</v>
      </c>
      <c r="C37" s="82">
        <v>65404</v>
      </c>
      <c r="D37" s="85">
        <f t="shared" si="1"/>
        <v>11.088338697654477</v>
      </c>
      <c r="F37" s="3">
        <v>12</v>
      </c>
      <c r="G37" s="3">
        <v>11.163271851189627</v>
      </c>
      <c r="H37" s="3">
        <v>0.18936748384725988</v>
      </c>
      <c r="I37">
        <f t="shared" si="2"/>
        <v>17.251763558834465</v>
      </c>
      <c r="J37">
        <f t="shared" si="3"/>
        <v>70493.222624228918</v>
      </c>
      <c r="M37" s="143">
        <v>83105</v>
      </c>
      <c r="N37" s="135">
        <f t="shared" si="4"/>
        <v>11.327860147505211</v>
      </c>
      <c r="O37" s="144">
        <f t="shared" si="5"/>
        <v>1.8620320555135159E-3</v>
      </c>
    </row>
    <row r="38" spans="1:15">
      <c r="A38" s="88">
        <f t="shared" si="0"/>
        <v>11.217466564562281</v>
      </c>
      <c r="B38" s="82">
        <v>74419</v>
      </c>
      <c r="C38" s="82">
        <v>64059</v>
      </c>
      <c r="D38" s="85">
        <f t="shared" si="1"/>
        <v>11.067559812676024</v>
      </c>
      <c r="F38" s="3">
        <v>13</v>
      </c>
      <c r="G38" s="3">
        <v>11.100471125909742</v>
      </c>
      <c r="H38" s="3">
        <v>-0.28626835583264487</v>
      </c>
      <c r="I38">
        <f t="shared" si="2"/>
        <v>33.144970960994897</v>
      </c>
      <c r="J38">
        <f t="shared" si="3"/>
        <v>66202.342461225882</v>
      </c>
      <c r="M38" s="143">
        <v>75584</v>
      </c>
      <c r="N38" s="135">
        <f t="shared" si="4"/>
        <v>11.232999899557035</v>
      </c>
      <c r="O38" s="144">
        <f t="shared" si="5"/>
        <v>1.9047178935720964E-2</v>
      </c>
    </row>
    <row r="39" spans="1:15">
      <c r="A39" s="88">
        <f t="shared" si="0"/>
        <v>11.258471828813903</v>
      </c>
      <c r="B39" s="82">
        <v>77534</v>
      </c>
      <c r="C39" s="82">
        <v>56134</v>
      </c>
      <c r="D39" s="85">
        <f t="shared" si="1"/>
        <v>10.93549696853629</v>
      </c>
      <c r="F39" s="3">
        <v>14</v>
      </c>
      <c r="G39" s="3">
        <v>11.132261164809869</v>
      </c>
      <c r="H39" s="3">
        <v>0.24317078296224537</v>
      </c>
      <c r="I39">
        <f t="shared" si="2"/>
        <v>21.586241500406874</v>
      </c>
      <c r="J39">
        <f t="shared" si="3"/>
        <v>68340.727082735393</v>
      </c>
      <c r="M39" s="143">
        <v>79302</v>
      </c>
      <c r="N39" s="135">
        <f t="shared" si="4"/>
        <v>11.281018627985862</v>
      </c>
      <c r="O39" s="144">
        <f t="shared" si="5"/>
        <v>8.0987020672471967E-3</v>
      </c>
    </row>
    <row r="40" spans="1:15">
      <c r="A40" s="88">
        <f t="shared" si="0"/>
        <v>11.242624790349222</v>
      </c>
      <c r="B40" s="82">
        <v>76315</v>
      </c>
      <c r="C40" s="82">
        <v>57468</v>
      </c>
      <c r="D40" s="85">
        <f t="shared" si="1"/>
        <v>10.958983550130609</v>
      </c>
      <c r="F40" s="3">
        <v>15</v>
      </c>
      <c r="G40" s="3">
        <v>11.073968709442255</v>
      </c>
      <c r="H40" s="3">
        <v>-0.32661059156205141</v>
      </c>
      <c r="I40">
        <f t="shared" si="2"/>
        <v>38.626155011622863</v>
      </c>
      <c r="J40">
        <f t="shared" si="3"/>
        <v>64470.865911255445</v>
      </c>
      <c r="M40" s="143">
        <v>72618</v>
      </c>
      <c r="N40" s="135">
        <f t="shared" si="4"/>
        <v>11.192968103966658</v>
      </c>
      <c r="O40" s="144">
        <f t="shared" si="5"/>
        <v>3.1699421301454145E-2</v>
      </c>
    </row>
    <row r="41" spans="1:15">
      <c r="A41" s="88">
        <f t="shared" si="0"/>
        <v>11.587058436811455</v>
      </c>
      <c r="B41" s="82">
        <v>107695</v>
      </c>
      <c r="C41" s="82">
        <v>74845</v>
      </c>
      <c r="D41" s="85">
        <f t="shared" si="1"/>
        <v>11.223174587349336</v>
      </c>
      <c r="F41" s="3">
        <v>16</v>
      </c>
      <c r="G41" s="3">
        <v>11.374861249281846</v>
      </c>
      <c r="H41" s="3">
        <v>-0.26828127984708949</v>
      </c>
      <c r="I41">
        <f t="shared" si="2"/>
        <v>30.771492214099734</v>
      </c>
      <c r="J41">
        <f t="shared" si="3"/>
        <v>87104.27553396755</v>
      </c>
      <c r="M41" s="143">
        <v>114401</v>
      </c>
      <c r="N41" s="135">
        <f t="shared" si="4"/>
        <v>11.647465099148372</v>
      </c>
      <c r="O41" s="144">
        <f t="shared" si="5"/>
        <v>7.6426638395805796E-2</v>
      </c>
    </row>
    <row r="42" spans="1:15">
      <c r="A42" s="88">
        <f t="shared" si="0"/>
        <v>11.809155895871966</v>
      </c>
      <c r="B42" s="82">
        <v>134478</v>
      </c>
      <c r="C42" s="82">
        <v>88920</v>
      </c>
      <c r="D42" s="85">
        <f t="shared" si="1"/>
        <v>11.395492368078132</v>
      </c>
      <c r="F42" s="3">
        <v>17</v>
      </c>
      <c r="G42" s="3">
        <v>11.140054139260496</v>
      </c>
      <c r="H42" s="3">
        <v>7.4424857810763356E-2</v>
      </c>
      <c r="I42">
        <f t="shared" si="2"/>
        <v>7.1722775778793615</v>
      </c>
      <c r="J42">
        <f t="shared" si="3"/>
        <v>68875.38520554085</v>
      </c>
      <c r="M42" s="143">
        <v>80241</v>
      </c>
      <c r="N42" s="135">
        <f t="shared" si="4"/>
        <v>11.292789885170324</v>
      </c>
      <c r="O42" s="144">
        <f t="shared" si="5"/>
        <v>6.1186080354394285E-3</v>
      </c>
    </row>
    <row r="43" spans="1:15">
      <c r="A43" s="88">
        <f t="shared" si="0"/>
        <v>11.164006083047258</v>
      </c>
      <c r="B43" s="82">
        <v>70545</v>
      </c>
      <c r="C43" s="82">
        <v>54986</v>
      </c>
      <c r="D43" s="85">
        <f t="shared" si="1"/>
        <v>10.91483388635787</v>
      </c>
      <c r="F43" s="3">
        <v>18</v>
      </c>
      <c r="G43" s="3">
        <v>11.436600618888921</v>
      </c>
      <c r="H43" s="3">
        <v>0.3593209565423745</v>
      </c>
      <c r="I43">
        <f t="shared" si="2"/>
        <v>30.184976049851279</v>
      </c>
      <c r="J43">
        <f t="shared" si="3"/>
        <v>92651.518284242367</v>
      </c>
      <c r="M43" s="143">
        <v>125583</v>
      </c>
      <c r="N43" s="135">
        <f t="shared" si="4"/>
        <v>11.740722173537083</v>
      </c>
      <c r="O43" s="144">
        <f t="shared" si="5"/>
        <v>0.13668604352919592</v>
      </c>
    </row>
    <row r="44" spans="1:15">
      <c r="A44" s="88">
        <f t="shared" si="0"/>
        <v>11.030849254490224</v>
      </c>
      <c r="B44" s="82">
        <v>61750</v>
      </c>
      <c r="C44" s="82">
        <v>56301</v>
      </c>
      <c r="D44" s="85">
        <f t="shared" si="1"/>
        <v>10.938467575959383</v>
      </c>
      <c r="F44" s="3">
        <v>19</v>
      </c>
      <c r="G44" s="3">
        <v>11.024081477911833</v>
      </c>
      <c r="H44" s="3">
        <v>-0.23500985428071175</v>
      </c>
      <c r="I44">
        <f t="shared" si="2"/>
        <v>26.492123356039031</v>
      </c>
      <c r="J44">
        <f t="shared" si="3"/>
        <v>61333.500772876207</v>
      </c>
      <c r="M44" s="143">
        <v>67347</v>
      </c>
      <c r="N44" s="135">
        <f t="shared" si="4"/>
        <v>11.117613637416579</v>
      </c>
      <c r="O44" s="144">
        <f t="shared" si="5"/>
        <v>6.4210434677264547E-2</v>
      </c>
    </row>
    <row r="45" spans="1:15">
      <c r="A45" s="88">
        <f t="shared" si="0"/>
        <v>11.341686271306379</v>
      </c>
      <c r="B45" s="82">
        <v>84262</v>
      </c>
      <c r="C45" s="82">
        <v>63529</v>
      </c>
      <c r="D45" s="85">
        <f t="shared" si="1"/>
        <v>11.0592517735417</v>
      </c>
      <c r="F45" s="3">
        <v>20</v>
      </c>
      <c r="G45" s="3">
        <v>11.168240027528064</v>
      </c>
      <c r="H45" s="3">
        <v>9.8810474125862413E-2</v>
      </c>
      <c r="I45">
        <f t="shared" si="2"/>
        <v>9.4085614029776981</v>
      </c>
      <c r="J45">
        <f t="shared" si="3"/>
        <v>70844.316811643381</v>
      </c>
      <c r="M45" s="143">
        <v>83731</v>
      </c>
      <c r="N45" s="135">
        <f t="shared" si="4"/>
        <v>11.335364558277762</v>
      </c>
      <c r="O45" s="144">
        <f t="shared" si="5"/>
        <v>1.2706985338732039E-3</v>
      </c>
    </row>
    <row r="46" spans="1:15">
      <c r="A46" s="88">
        <f t="shared" si="0"/>
        <v>11.414948733073855</v>
      </c>
      <c r="B46" s="82">
        <v>90667</v>
      </c>
      <c r="C46" s="82">
        <v>67579</v>
      </c>
      <c r="D46" s="85">
        <f t="shared" si="1"/>
        <v>11.121052562881498</v>
      </c>
      <c r="F46" s="3">
        <v>21</v>
      </c>
      <c r="G46" s="3">
        <v>11.163773534019057</v>
      </c>
      <c r="H46" s="3">
        <v>-0.19118832936501562</v>
      </c>
      <c r="I46">
        <f t="shared" si="2"/>
        <v>21.06874386088926</v>
      </c>
      <c r="J46">
        <f t="shared" si="3"/>
        <v>70528.596736161038</v>
      </c>
      <c r="M46" s="143">
        <v>83168</v>
      </c>
      <c r="N46" s="135">
        <f t="shared" si="4"/>
        <v>11.328617937441217</v>
      </c>
      <c r="O46" s="144">
        <f t="shared" si="5"/>
        <v>1.7972071056639536E-3</v>
      </c>
    </row>
    <row r="47" spans="1:15">
      <c r="A47" s="88">
        <f t="shared" si="0"/>
        <v>11.205530361208428</v>
      </c>
      <c r="B47" s="82">
        <v>73536</v>
      </c>
      <c r="C47" s="82">
        <v>72926</v>
      </c>
      <c r="D47" s="85">
        <f t="shared" si="1"/>
        <v>11.197200507360451</v>
      </c>
      <c r="F47" s="3">
        <v>22</v>
      </c>
      <c r="G47" s="3">
        <v>11.07063273492091</v>
      </c>
      <c r="H47" s="3">
        <v>-0.12161726480912805</v>
      </c>
      <c r="I47">
        <f t="shared" si="2"/>
        <v>12.932178786468636</v>
      </c>
      <c r="J47">
        <f t="shared" si="3"/>
        <v>64256.151085924925</v>
      </c>
      <c r="M47" s="143">
        <v>72253</v>
      </c>
      <c r="N47" s="135">
        <f t="shared" si="4"/>
        <v>11.187929127603994</v>
      </c>
      <c r="O47" s="144">
        <f t="shared" si="5"/>
        <v>3.3519124675640041E-2</v>
      </c>
    </row>
    <row r="48" spans="1:15">
      <c r="A48" s="88">
        <f t="shared" si="0"/>
        <v>11.068199642908761</v>
      </c>
      <c r="B48" s="82">
        <v>64100</v>
      </c>
      <c r="C48" s="82">
        <v>44639</v>
      </c>
      <c r="D48" s="85">
        <f t="shared" si="1"/>
        <v>10.706363195370585</v>
      </c>
      <c r="F48" s="3">
        <v>23</v>
      </c>
      <c r="G48" s="3">
        <v>11.691657455806322</v>
      </c>
      <c r="H48" s="3">
        <v>-0.5295668782931422</v>
      </c>
      <c r="I48">
        <f t="shared" si="2"/>
        <v>69.819662348930748</v>
      </c>
      <c r="J48">
        <f t="shared" si="3"/>
        <v>119570.02425988214</v>
      </c>
      <c r="M48" s="143">
        <v>184607</v>
      </c>
      <c r="N48" s="135">
        <f t="shared" si="4"/>
        <v>12.125984520158603</v>
      </c>
      <c r="O48" s="144">
        <f t="shared" si="5"/>
        <v>0.56998438655413863</v>
      </c>
    </row>
    <row r="49" spans="1:15">
      <c r="A49" s="88">
        <f t="shared" si="0"/>
        <v>10.119243885416321</v>
      </c>
      <c r="B49" s="82">
        <v>24816</v>
      </c>
      <c r="C49" s="82">
        <v>40588</v>
      </c>
      <c r="D49" s="85">
        <f t="shared" si="1"/>
        <v>10.611227735398973</v>
      </c>
      <c r="F49" s="3">
        <v>24</v>
      </c>
      <c r="G49" s="3">
        <v>11.338560348594964</v>
      </c>
      <c r="H49" s="3">
        <v>0.12334546875354846</v>
      </c>
      <c r="I49">
        <f t="shared" si="2"/>
        <v>11.604177014272704</v>
      </c>
      <c r="J49">
        <f t="shared" si="3"/>
        <v>83999.01475041722</v>
      </c>
      <c r="M49" s="143">
        <v>108297</v>
      </c>
      <c r="N49" s="135">
        <f t="shared" si="4"/>
        <v>11.592632731774382</v>
      </c>
      <c r="O49" s="144">
        <f t="shared" si="5"/>
        <v>4.9116007180292985E-2</v>
      </c>
    </row>
    <row r="50" spans="1:15">
      <c r="A50" s="88">
        <f t="shared" si="0"/>
        <v>10.600776145596624</v>
      </c>
      <c r="B50" s="82">
        <v>40166</v>
      </c>
      <c r="C50" s="82">
        <v>49162</v>
      </c>
      <c r="D50" s="85">
        <f t="shared" si="1"/>
        <v>10.802876246334927</v>
      </c>
      <c r="F50" s="3">
        <v>25</v>
      </c>
      <c r="G50" s="3">
        <v>10.905539455817133</v>
      </c>
      <c r="H50" s="3">
        <v>0.14866251924246932</v>
      </c>
      <c r="I50">
        <f t="shared" si="2"/>
        <v>13.814007303450209</v>
      </c>
      <c r="J50">
        <f t="shared" si="3"/>
        <v>54477.304123562157</v>
      </c>
      <c r="M50" s="143">
        <v>56306</v>
      </c>
      <c r="N50" s="135">
        <f t="shared" si="4"/>
        <v>10.938556380385453</v>
      </c>
      <c r="O50" s="144">
        <f t="shared" si="5"/>
        <v>0.18701735865822877</v>
      </c>
    </row>
    <row r="51" spans="1:15">
      <c r="A51" s="88">
        <f t="shared" si="0"/>
        <v>11.697519437869847</v>
      </c>
      <c r="B51" s="82">
        <v>120273</v>
      </c>
      <c r="C51" s="82">
        <v>74210</v>
      </c>
      <c r="D51" s="85">
        <f t="shared" si="1"/>
        <v>11.214654190964179</v>
      </c>
      <c r="F51" s="3">
        <v>26</v>
      </c>
      <c r="G51" s="3">
        <v>11.058220733626333</v>
      </c>
      <c r="H51" s="3">
        <v>2.5873755130531251E-2</v>
      </c>
      <c r="I51">
        <f t="shared" si="2"/>
        <v>2.5541897820355031</v>
      </c>
      <c r="J51">
        <f t="shared" si="3"/>
        <v>63463.532820653738</v>
      </c>
      <c r="M51" s="143">
        <v>70911</v>
      </c>
      <c r="N51" s="135">
        <f t="shared" si="4"/>
        <v>11.169180848581908</v>
      </c>
      <c r="O51" s="144">
        <f t="shared" si="5"/>
        <v>4.073557833160725E-2</v>
      </c>
    </row>
    <row r="52" spans="1:15">
      <c r="A52" s="88">
        <f t="shared" si="0"/>
        <v>11.476334092070244</v>
      </c>
      <c r="B52" s="82">
        <v>96407</v>
      </c>
      <c r="C52" s="82">
        <v>88854</v>
      </c>
      <c r="D52" s="85">
        <f t="shared" si="1"/>
        <v>11.394749852265559</v>
      </c>
      <c r="F52" s="3">
        <v>27</v>
      </c>
      <c r="G52" s="3">
        <v>11.133653859278583</v>
      </c>
      <c r="H52" s="3">
        <v>0.18113768988146361</v>
      </c>
      <c r="I52">
        <f t="shared" si="2"/>
        <v>16.567952670037883</v>
      </c>
      <c r="J52">
        <f t="shared" si="3"/>
        <v>68435.971142874725</v>
      </c>
      <c r="M52" s="143">
        <v>79469</v>
      </c>
      <c r="N52" s="135">
        <f t="shared" si="4"/>
        <v>11.283122287490261</v>
      </c>
      <c r="O52" s="144">
        <f t="shared" si="5"/>
        <v>7.7244990788541742E-3</v>
      </c>
    </row>
    <row r="53" spans="1:15">
      <c r="A53" s="88">
        <f t="shared" si="0"/>
        <v>11.401122015898842</v>
      </c>
      <c r="B53" s="82">
        <v>89422</v>
      </c>
      <c r="C53" s="82">
        <v>55310</v>
      </c>
      <c r="D53" s="85">
        <f t="shared" si="1"/>
        <v>10.920709002988724</v>
      </c>
      <c r="F53" s="3">
        <v>28</v>
      </c>
      <c r="G53" s="3">
        <v>11.236428875058628</v>
      </c>
      <c r="H53" s="3">
        <v>-0.11284913631668125</v>
      </c>
      <c r="I53">
        <f t="shared" si="2"/>
        <v>11.946303389190692</v>
      </c>
      <c r="J53">
        <f t="shared" si="3"/>
        <v>75843.620546176695</v>
      </c>
      <c r="M53" s="143">
        <v>92815</v>
      </c>
      <c r="N53" s="135">
        <f t="shared" si="4"/>
        <v>11.438363543643323</v>
      </c>
      <c r="O53" s="144">
        <f t="shared" si="5"/>
        <v>4.5363089688386562E-3</v>
      </c>
    </row>
    <row r="54" spans="1:15">
      <c r="A54" s="88">
        <f t="shared" si="0"/>
        <v>10.86463692071851</v>
      </c>
      <c r="B54" s="82">
        <v>52294</v>
      </c>
      <c r="C54" s="82">
        <v>60998</v>
      </c>
      <c r="D54" s="85">
        <f t="shared" si="1"/>
        <v>11.018596355732701</v>
      </c>
      <c r="F54" s="3">
        <v>29</v>
      </c>
      <c r="G54" s="3">
        <v>11.462179097331134</v>
      </c>
      <c r="H54" s="3">
        <v>0.5010637378176046</v>
      </c>
      <c r="I54">
        <f t="shared" si="2"/>
        <v>39.411418685299495</v>
      </c>
      <c r="J54">
        <f t="shared" si="3"/>
        <v>95051.972252315303</v>
      </c>
      <c r="M54" s="143">
        <v>130530</v>
      </c>
      <c r="N54" s="135">
        <f t="shared" si="4"/>
        <v>11.779358364382835</v>
      </c>
      <c r="O54" s="144">
        <f t="shared" si="5"/>
        <v>0.16674722946998582</v>
      </c>
    </row>
    <row r="55" spans="1:15">
      <c r="A55" s="88">
        <f t="shared" si="0"/>
        <v>10.861419143569357</v>
      </c>
      <c r="B55" s="82">
        <v>52126</v>
      </c>
      <c r="C55" s="82">
        <v>57133</v>
      </c>
      <c r="D55" s="85">
        <f t="shared" si="1"/>
        <v>10.95313716215497</v>
      </c>
      <c r="F55" s="3">
        <v>30</v>
      </c>
      <c r="G55" s="3">
        <v>11.352413472272733</v>
      </c>
      <c r="H55" s="3">
        <v>0.1525302229558374</v>
      </c>
      <c r="I55">
        <f t="shared" si="2"/>
        <v>14.146705383902974</v>
      </c>
      <c r="J55">
        <f t="shared" si="3"/>
        <v>85170.760923899055</v>
      </c>
      <c r="M55" s="143">
        <v>110587</v>
      </c>
      <c r="N55" s="135">
        <f t="shared" si="4"/>
        <v>11.613557820474762</v>
      </c>
      <c r="O55" s="144">
        <f t="shared" si="5"/>
        <v>5.8828757858205974E-2</v>
      </c>
    </row>
    <row r="56" spans="1:15">
      <c r="A56" s="88">
        <f t="shared" si="0"/>
        <v>11.685844624101536</v>
      </c>
      <c r="B56" s="82">
        <v>118877</v>
      </c>
      <c r="C56" s="82">
        <v>126868</v>
      </c>
      <c r="D56" s="85">
        <f t="shared" si="1"/>
        <v>11.750902454842342</v>
      </c>
      <c r="F56" s="3">
        <v>31</v>
      </c>
      <c r="G56" s="3">
        <v>11.511665922815165</v>
      </c>
      <c r="H56" s="3">
        <v>0.13471468187240632</v>
      </c>
      <c r="I56">
        <f t="shared" si="2"/>
        <v>12.603476575756329</v>
      </c>
      <c r="J56">
        <f t="shared" si="3"/>
        <v>99874.125073522941</v>
      </c>
      <c r="M56" s="143">
        <v>140661</v>
      </c>
      <c r="N56" s="135">
        <f t="shared" si="4"/>
        <v>11.854108019178414</v>
      </c>
      <c r="O56" s="144">
        <f t="shared" si="5"/>
        <v>0.23338232707549442</v>
      </c>
    </row>
    <row r="57" spans="1:15">
      <c r="A57" s="88">
        <f t="shared" si="0"/>
        <v>10.978660609470476</v>
      </c>
      <c r="B57" s="82">
        <v>58610</v>
      </c>
      <c r="C57" s="82">
        <v>48163</v>
      </c>
      <c r="D57" s="85">
        <f t="shared" si="1"/>
        <v>10.782346370401418</v>
      </c>
      <c r="F57" s="3">
        <v>32</v>
      </c>
      <c r="G57" s="3">
        <v>11.252105227799508</v>
      </c>
      <c r="H57" s="3">
        <v>0.56244959250501303</v>
      </c>
      <c r="I57">
        <f t="shared" si="2"/>
        <v>43.01884532202984</v>
      </c>
      <c r="J57">
        <f t="shared" si="3"/>
        <v>77041.939993896332</v>
      </c>
      <c r="M57" s="143">
        <v>95039</v>
      </c>
      <c r="N57" s="135">
        <f t="shared" si="4"/>
        <v>11.462042612655594</v>
      </c>
      <c r="O57" s="144">
        <f t="shared" si="5"/>
        <v>8.2866785898672076E-3</v>
      </c>
    </row>
    <row r="58" spans="1:15">
      <c r="A58" s="88">
        <f t="shared" si="0"/>
        <v>11.644523740326974</v>
      </c>
      <c r="B58" s="82">
        <v>114065</v>
      </c>
      <c r="C58" s="82">
        <v>75764</v>
      </c>
      <c r="D58" s="85">
        <f t="shared" si="1"/>
        <v>11.235378524776632</v>
      </c>
      <c r="F58" s="3">
        <v>33</v>
      </c>
      <c r="G58" s="3">
        <v>11.320860612204422</v>
      </c>
      <c r="H58" s="3">
        <v>-0.17111692908762244</v>
      </c>
      <c r="I58">
        <f t="shared" si="2"/>
        <v>18.662949241387789</v>
      </c>
      <c r="J58">
        <f t="shared" si="3"/>
        <v>82525.334679415551</v>
      </c>
      <c r="M58" s="143">
        <v>105440</v>
      </c>
      <c r="N58" s="135">
        <f t="shared" si="4"/>
        <v>11.565897349736334</v>
      </c>
      <c r="O58" s="144">
        <f t="shared" si="5"/>
        <v>3.7980526794310757E-2</v>
      </c>
    </row>
    <row r="59" spans="1:15">
      <c r="A59" s="88">
        <f t="shared" si="0"/>
        <v>10.974780030549274</v>
      </c>
      <c r="B59" s="82">
        <v>58383</v>
      </c>
      <c r="C59" s="82">
        <v>67541</v>
      </c>
      <c r="D59" s="85">
        <f t="shared" si="1"/>
        <v>11.120490099870816</v>
      </c>
      <c r="F59" s="3">
        <v>34</v>
      </c>
      <c r="G59" s="3">
        <v>11.138608712356667</v>
      </c>
      <c r="H59" s="3">
        <v>-8.8115611135856753E-2</v>
      </c>
      <c r="I59">
        <f t="shared" si="2"/>
        <v>9.2114375313329298</v>
      </c>
      <c r="J59">
        <f t="shared" si="3"/>
        <v>68775.902785356913</v>
      </c>
      <c r="M59" s="143">
        <v>80066</v>
      </c>
      <c r="N59" s="135">
        <f t="shared" si="4"/>
        <v>11.290606573530575</v>
      </c>
      <c r="O59" s="144">
        <f t="shared" si="5"/>
        <v>6.4649388468241697E-3</v>
      </c>
    </row>
    <row r="60" spans="1:15">
      <c r="A60" s="88">
        <f t="shared" si="0"/>
        <v>11.077485568110127</v>
      </c>
      <c r="B60" s="82">
        <v>64698</v>
      </c>
      <c r="C60" s="82">
        <v>71616</v>
      </c>
      <c r="D60" s="85">
        <f t="shared" si="1"/>
        <v>11.179073791671597</v>
      </c>
      <c r="F60" s="3">
        <v>35</v>
      </c>
      <c r="G60" s="3">
        <v>11.370122167166969</v>
      </c>
      <c r="H60" s="3">
        <v>-0.12155294934502514</v>
      </c>
      <c r="I60">
        <f t="shared" si="2"/>
        <v>12.924915734543626</v>
      </c>
      <c r="J60">
        <f t="shared" si="3"/>
        <v>86692.457809409141</v>
      </c>
      <c r="M60" s="143">
        <v>113585</v>
      </c>
      <c r="N60" s="135">
        <f t="shared" si="4"/>
        <v>11.640306734297321</v>
      </c>
      <c r="O60" s="144">
        <f t="shared" si="5"/>
        <v>7.2519967940097074E-2</v>
      </c>
    </row>
    <row r="61" spans="1:15">
      <c r="A61" s="88">
        <f t="shared" si="0"/>
        <v>11.577898266794289</v>
      </c>
      <c r="B61" s="82">
        <v>106713</v>
      </c>
      <c r="C61" s="82">
        <v>62482</v>
      </c>
      <c r="D61" s="85">
        <f t="shared" si="1"/>
        <v>11.042633794244528</v>
      </c>
      <c r="F61" s="3">
        <v>36</v>
      </c>
      <c r="G61" s="3">
        <v>11.23272371716623</v>
      </c>
      <c r="H61" s="3">
        <v>-0.14438501951175375</v>
      </c>
      <c r="I61">
        <f t="shared" si="2"/>
        <v>15.532884705152084</v>
      </c>
      <c r="J61">
        <f t="shared" si="3"/>
        <v>75563.127912557669</v>
      </c>
      <c r="M61" s="143">
        <v>92297</v>
      </c>
      <c r="N61" s="135">
        <f t="shared" si="4"/>
        <v>11.43276691725416</v>
      </c>
      <c r="O61" s="144">
        <f t="shared" si="5"/>
        <v>3.8137418166482124E-3</v>
      </c>
    </row>
    <row r="62" spans="1:15">
      <c r="A62" s="88">
        <f t="shared" si="0"/>
        <v>11.226735611938384</v>
      </c>
      <c r="B62" s="82">
        <v>75112</v>
      </c>
      <c r="C62" s="82">
        <v>64455</v>
      </c>
      <c r="D62" s="85">
        <f t="shared" si="1"/>
        <v>11.073722584877205</v>
      </c>
      <c r="F62" s="3">
        <v>37</v>
      </c>
      <c r="G62" s="3">
        <v>11.090187527407883</v>
      </c>
      <c r="H62" s="3">
        <v>-2.2627714731859427E-2</v>
      </c>
      <c r="I62">
        <f t="shared" si="2"/>
        <v>2.2885663390852855</v>
      </c>
      <c r="J62">
        <f t="shared" si="3"/>
        <v>65525.032711154643</v>
      </c>
      <c r="M62" s="143">
        <v>74419</v>
      </c>
      <c r="N62" s="135">
        <f t="shared" si="4"/>
        <v>11.217466564562281</v>
      </c>
      <c r="O62" s="144">
        <f t="shared" si="5"/>
        <v>2.3576021697672499E-2</v>
      </c>
    </row>
    <row r="63" spans="1:15">
      <c r="A63" s="88">
        <f t="shared" si="0"/>
        <v>11.374593998975703</v>
      </c>
      <c r="B63" s="82">
        <v>87081</v>
      </c>
      <c r="C63" s="82">
        <v>70393</v>
      </c>
      <c r="D63" s="85">
        <f t="shared" si="1"/>
        <v>11.161849105384281</v>
      </c>
      <c r="F63" s="3">
        <v>38</v>
      </c>
      <c r="G63" s="3">
        <v>11.117334413390113</v>
      </c>
      <c r="H63" s="3">
        <v>-0.18183744485382292</v>
      </c>
      <c r="I63">
        <f t="shared" si="2"/>
        <v>19.941920626777591</v>
      </c>
      <c r="J63">
        <f t="shared" si="3"/>
        <v>67328.197724635334</v>
      </c>
      <c r="M63" s="143">
        <v>77534</v>
      </c>
      <c r="N63" s="135">
        <f t="shared" si="4"/>
        <v>11.258471828813903</v>
      </c>
      <c r="O63" s="144">
        <f t="shared" si="5"/>
        <v>1.2665158899972414E-2</v>
      </c>
    </row>
    <row r="64" spans="1:15">
      <c r="A64" s="88">
        <f t="shared" si="0"/>
        <v>11.091696761682586</v>
      </c>
      <c r="B64" s="82">
        <v>65624</v>
      </c>
      <c r="C64" s="82">
        <v>58626</v>
      </c>
      <c r="D64" s="85">
        <f t="shared" si="1"/>
        <v>10.978933563172399</v>
      </c>
      <c r="F64" s="3">
        <v>39</v>
      </c>
      <c r="G64" s="3">
        <v>11.106843132472694</v>
      </c>
      <c r="H64" s="3">
        <v>-0.14785958234208429</v>
      </c>
      <c r="I64">
        <f t="shared" si="2"/>
        <v>15.935009170833508</v>
      </c>
      <c r="J64">
        <f t="shared" si="3"/>
        <v>66625.531070294601</v>
      </c>
      <c r="M64" s="143">
        <v>76315</v>
      </c>
      <c r="N64" s="135">
        <f t="shared" si="4"/>
        <v>11.242624790349222</v>
      </c>
      <c r="O64" s="144">
        <f t="shared" si="5"/>
        <v>1.6483125892357651E-2</v>
      </c>
    </row>
    <row r="65" spans="1:15">
      <c r="A65" s="88">
        <f t="shared" si="0"/>
        <v>11.805550301811165</v>
      </c>
      <c r="B65" s="82">
        <v>133994</v>
      </c>
      <c r="C65" s="82">
        <v>130360</v>
      </c>
      <c r="D65" s="85">
        <f t="shared" si="1"/>
        <v>11.778055132951497</v>
      </c>
      <c r="F65" s="3">
        <v>40</v>
      </c>
      <c r="G65" s="3">
        <v>11.334869974869745</v>
      </c>
      <c r="H65" s="3">
        <v>-0.11169538752040964</v>
      </c>
      <c r="I65">
        <f t="shared" si="2"/>
        <v>11.817219955655331</v>
      </c>
      <c r="J65">
        <f t="shared" si="3"/>
        <v>83689.598275810233</v>
      </c>
      <c r="M65" s="143">
        <v>107695</v>
      </c>
      <c r="N65" s="135">
        <f t="shared" si="4"/>
        <v>11.587058436811455</v>
      </c>
      <c r="O65" s="144">
        <f t="shared" si="5"/>
        <v>4.6676314786926895E-2</v>
      </c>
    </row>
    <row r="66" spans="1:15">
      <c r="A66" s="88">
        <f t="shared" si="0"/>
        <v>11.97526857723685</v>
      </c>
      <c r="B66" s="82">
        <v>158779</v>
      </c>
      <c r="C66" s="82">
        <v>79079</v>
      </c>
      <c r="D66" s="85">
        <f t="shared" si="1"/>
        <v>11.278202631782243</v>
      </c>
      <c r="F66" s="3">
        <v>41</v>
      </c>
      <c r="G66" s="3">
        <v>11.481906081284306</v>
      </c>
      <c r="H66" s="3">
        <v>-8.6413713206173526E-2</v>
      </c>
      <c r="I66">
        <f t="shared" si="2"/>
        <v>9.0257288853054387</v>
      </c>
      <c r="J66">
        <f t="shared" si="3"/>
        <v>96945.678124813596</v>
      </c>
      <c r="M66" s="143">
        <v>134478</v>
      </c>
      <c r="N66" s="135">
        <f t="shared" si="4"/>
        <v>11.809155895871966</v>
      </c>
      <c r="O66" s="144">
        <f t="shared" si="5"/>
        <v>0.19197058440150788</v>
      </c>
    </row>
    <row r="67" spans="1:15">
      <c r="A67" s="88">
        <f t="shared" ref="A67:A86" si="6">LN(B67)</f>
        <v>11.002033172315251</v>
      </c>
      <c r="B67" s="82">
        <v>59996</v>
      </c>
      <c r="C67" s="82">
        <v>60415</v>
      </c>
      <c r="D67" s="85">
        <f t="shared" ref="D67:D86" si="7">LN(C67)</f>
        <v>11.008992697461409</v>
      </c>
      <c r="F67" s="3">
        <v>42</v>
      </c>
      <c r="G67" s="3">
        <v>11.054794862033557</v>
      </c>
      <c r="H67" s="3">
        <v>-0.13996097567568633</v>
      </c>
      <c r="I67">
        <f t="shared" si="2"/>
        <v>15.022891107531548</v>
      </c>
      <c r="J67">
        <f t="shared" si="3"/>
        <v>63246.486904387297</v>
      </c>
      <c r="M67" s="143">
        <v>70545</v>
      </c>
      <c r="N67" s="135">
        <f t="shared" si="4"/>
        <v>11.164006083047258</v>
      </c>
      <c r="O67" s="144">
        <f t="shared" si="5"/>
        <v>4.2851208268103534E-2</v>
      </c>
    </row>
    <row r="68" spans="1:15">
      <c r="A68" s="88">
        <f t="shared" si="6"/>
        <v>11.407787146846923</v>
      </c>
      <c r="B68" s="82">
        <v>90020</v>
      </c>
      <c r="C68" s="82">
        <v>57183</v>
      </c>
      <c r="D68" s="85">
        <f t="shared" si="7"/>
        <v>10.954011930397183</v>
      </c>
      <c r="F68" s="3">
        <v>43</v>
      </c>
      <c r="G68" s="3">
        <v>10.966640491891919</v>
      </c>
      <c r="H68" s="3">
        <v>-2.8172915932536569E-2</v>
      </c>
      <c r="I68">
        <f t="shared" si="2"/>
        <v>2.8573525795574044</v>
      </c>
      <c r="J68">
        <f t="shared" si="3"/>
        <v>57909.718075816614</v>
      </c>
      <c r="M68" s="143">
        <v>61750</v>
      </c>
      <c r="N68" s="135">
        <f t="shared" si="4"/>
        <v>11.030849254490224</v>
      </c>
      <c r="O68" s="144">
        <f t="shared" si="5"/>
        <v>0.11571029677574912</v>
      </c>
    </row>
    <row r="69" spans="1:15">
      <c r="A69" s="88">
        <f t="shared" si="6"/>
        <v>11.219064341441731</v>
      </c>
      <c r="B69" s="82">
        <v>74538</v>
      </c>
      <c r="C69" s="82">
        <v>55168</v>
      </c>
      <c r="D69" s="85">
        <f t="shared" si="7"/>
        <v>10.918138354023364</v>
      </c>
      <c r="F69" s="3">
        <v>44</v>
      </c>
      <c r="G69" s="3">
        <v>11.172425217550185</v>
      </c>
      <c r="H69" s="3">
        <v>-0.11317344400848484</v>
      </c>
      <c r="I69">
        <f t="shared" si="2"/>
        <v>11.982614324088283</v>
      </c>
      <c r="J69">
        <f t="shared" si="3"/>
        <v>71141.435053950045</v>
      </c>
      <c r="M69" s="143">
        <v>84262</v>
      </c>
      <c r="N69" s="135">
        <f t="shared" si="4"/>
        <v>11.341686271306379</v>
      </c>
      <c r="O69" s="144">
        <f t="shared" si="5"/>
        <v>8.5996416757460931E-4</v>
      </c>
    </row>
    <row r="70" spans="1:15">
      <c r="A70" s="88">
        <f t="shared" si="6"/>
        <v>11.241352934251516</v>
      </c>
      <c r="B70" s="82">
        <v>76218</v>
      </c>
      <c r="C70" s="82">
        <v>64706</v>
      </c>
      <c r="D70" s="85">
        <f t="shared" si="7"/>
        <v>11.077609211892549</v>
      </c>
      <c r="F70" s="3">
        <v>45</v>
      </c>
      <c r="G70" s="3">
        <v>11.220927470435933</v>
      </c>
      <c r="H70" s="3">
        <v>-9.9874907554434955E-2</v>
      </c>
      <c r="I70">
        <f t="shared" si="2"/>
        <v>10.503267818930032</v>
      </c>
      <c r="J70">
        <f t="shared" si="3"/>
        <v>74677.003359354727</v>
      </c>
      <c r="M70" s="143">
        <v>90667</v>
      </c>
      <c r="N70" s="135">
        <f t="shared" si="4"/>
        <v>11.414948733073855</v>
      </c>
      <c r="O70" s="144">
        <f t="shared" si="5"/>
        <v>1.9304877473359425E-3</v>
      </c>
    </row>
    <row r="71" spans="1:15">
      <c r="A71" s="88">
        <f t="shared" si="6"/>
        <v>11.167868484657124</v>
      </c>
      <c r="B71" s="82">
        <v>70818</v>
      </c>
      <c r="C71" s="82">
        <v>78524</v>
      </c>
      <c r="D71" s="85">
        <f t="shared" si="7"/>
        <v>11.271159589527924</v>
      </c>
      <c r="F71" s="3">
        <v>46</v>
      </c>
      <c r="G71" s="3">
        <v>11.082285352957319</v>
      </c>
      <c r="H71" s="3">
        <v>0.11491515440313194</v>
      </c>
      <c r="I71">
        <f t="shared" si="2"/>
        <v>10.855822439219708</v>
      </c>
      <c r="J71">
        <f t="shared" si="3"/>
        <v>65009.282927974637</v>
      </c>
      <c r="M71" s="143">
        <v>73536</v>
      </c>
      <c r="N71" s="135">
        <f t="shared" si="4"/>
        <v>11.205530361208428</v>
      </c>
      <c r="O71" s="144">
        <f t="shared" si="5"/>
        <v>2.7383979812477338E-2</v>
      </c>
    </row>
    <row r="72" spans="1:15">
      <c r="A72" s="88">
        <f t="shared" si="6"/>
        <v>11.278784159446477</v>
      </c>
      <c r="B72" s="82">
        <v>79125</v>
      </c>
      <c r="C72" s="82">
        <v>73868</v>
      </c>
      <c r="D72" s="85">
        <f t="shared" si="7"/>
        <v>11.210034995565763</v>
      </c>
      <c r="F72" s="3">
        <v>47</v>
      </c>
      <c r="G72" s="3">
        <v>10.991367725194651</v>
      </c>
      <c r="H72" s="3">
        <v>-0.28500452982406621</v>
      </c>
      <c r="I72">
        <f t="shared" si="2"/>
        <v>32.976805172315416</v>
      </c>
      <c r="J72">
        <f t="shared" si="3"/>
        <v>59359.516060869879</v>
      </c>
      <c r="M72" s="143">
        <v>64100</v>
      </c>
      <c r="N72" s="135">
        <f t="shared" si="4"/>
        <v>11.068199642908761</v>
      </c>
      <c r="O72" s="144">
        <f t="shared" si="5"/>
        <v>9.1694970503733889E-2</v>
      </c>
    </row>
    <row r="73" spans="1:15">
      <c r="A73" s="88">
        <f t="shared" si="6"/>
        <v>11.68722325056927</v>
      </c>
      <c r="B73" s="82">
        <v>119041</v>
      </c>
      <c r="C73" s="82">
        <v>121907</v>
      </c>
      <c r="D73" s="85">
        <f t="shared" si="7"/>
        <v>11.71101373793879</v>
      </c>
      <c r="F73" s="3">
        <v>48</v>
      </c>
      <c r="G73" s="3">
        <v>10.3631265902821</v>
      </c>
      <c r="H73" s="3">
        <v>0.24810114511687331</v>
      </c>
      <c r="I73">
        <f t="shared" si="2"/>
        <v>21.97189823280949</v>
      </c>
      <c r="J73">
        <f t="shared" si="3"/>
        <v>31670.045945267284</v>
      </c>
      <c r="M73" s="143">
        <v>24816</v>
      </c>
      <c r="N73" s="135">
        <f t="shared" si="4"/>
        <v>10.119243885416321</v>
      </c>
      <c r="O73" s="144">
        <f t="shared" si="5"/>
        <v>1.5669219530256133</v>
      </c>
    </row>
    <row r="74" spans="1:15">
      <c r="A74" s="88">
        <f t="shared" si="6"/>
        <v>11.35192303206883</v>
      </c>
      <c r="B74" s="82">
        <v>85129</v>
      </c>
      <c r="C74" s="82">
        <v>67561</v>
      </c>
      <c r="D74" s="85">
        <f t="shared" si="7"/>
        <v>11.120786172469979</v>
      </c>
      <c r="F74" s="3">
        <v>49</v>
      </c>
      <c r="G74" s="3">
        <v>10.681917399278365</v>
      </c>
      <c r="H74" s="3">
        <v>0.12095884705656168</v>
      </c>
      <c r="I74">
        <f t="shared" si="2"/>
        <v>11.39295767514124</v>
      </c>
      <c r="J74">
        <f t="shared" si="3"/>
        <v>43560.994147747064</v>
      </c>
      <c r="M74" s="143">
        <v>40166</v>
      </c>
      <c r="N74" s="135">
        <f t="shared" si="4"/>
        <v>10.600776145596624</v>
      </c>
      <c r="O74" s="144">
        <f t="shared" si="5"/>
        <v>0.59326237325138675</v>
      </c>
    </row>
    <row r="75" spans="1:15">
      <c r="A75" s="88">
        <f t="shared" si="6"/>
        <v>11.266039786711017</v>
      </c>
      <c r="B75" s="82">
        <v>78123</v>
      </c>
      <c r="C75" s="82">
        <v>59743</v>
      </c>
      <c r="D75" s="85">
        <f t="shared" si="7"/>
        <v>10.997807308118881</v>
      </c>
      <c r="F75" s="3">
        <v>50</v>
      </c>
      <c r="G75" s="3">
        <v>11.407998931747436</v>
      </c>
      <c r="H75" s="3">
        <v>-0.1933447407832567</v>
      </c>
      <c r="I75">
        <f t="shared" si="2"/>
        <v>21.330099576489864</v>
      </c>
      <c r="J75">
        <f t="shared" si="3"/>
        <v>90039.066895713127</v>
      </c>
      <c r="M75" s="143">
        <v>120273</v>
      </c>
      <c r="N75" s="135">
        <f t="shared" si="4"/>
        <v>11.697519437869847</v>
      </c>
      <c r="O75" s="144">
        <f t="shared" si="5"/>
        <v>0.10660748771881524</v>
      </c>
    </row>
    <row r="76" spans="1:15">
      <c r="A76" s="88">
        <f t="shared" si="6"/>
        <v>11.819093121326587</v>
      </c>
      <c r="B76" s="82">
        <v>135821</v>
      </c>
      <c r="C76" s="82">
        <v>90296</v>
      </c>
      <c r="D76" s="85">
        <f t="shared" si="7"/>
        <v>11.410848441635462</v>
      </c>
      <c r="F76" s="3">
        <v>51</v>
      </c>
      <c r="G76" s="3">
        <v>11.261566675476232</v>
      </c>
      <c r="H76" s="3">
        <v>0.13318317678932701</v>
      </c>
      <c r="I76">
        <f t="shared" si="2"/>
        <v>12.469525808930349</v>
      </c>
      <c r="J76">
        <f t="shared" si="3"/>
        <v>77774.327537733028</v>
      </c>
      <c r="M76" s="143">
        <v>96407</v>
      </c>
      <c r="N76" s="135">
        <f t="shared" si="4"/>
        <v>11.476334092070244</v>
      </c>
      <c r="O76" s="144">
        <f t="shared" si="5"/>
        <v>1.1092865892491074E-2</v>
      </c>
    </row>
    <row r="77" spans="1:15">
      <c r="A77" s="88">
        <f t="shared" si="6"/>
        <v>11.630815161604794</v>
      </c>
      <c r="B77" s="82">
        <v>112512</v>
      </c>
      <c r="C77" s="82">
        <v>124744</v>
      </c>
      <c r="D77" s="85">
        <f t="shared" si="7"/>
        <v>11.734018916264722</v>
      </c>
      <c r="F77" s="3">
        <v>52</v>
      </c>
      <c r="G77" s="3">
        <v>11.211773711241619</v>
      </c>
      <c r="H77" s="3">
        <v>-0.29106470825289499</v>
      </c>
      <c r="I77">
        <f t="shared" si="2"/>
        <v>33.78511511598245</v>
      </c>
      <c r="J77">
        <f t="shared" si="3"/>
        <v>73996.547170649894</v>
      </c>
      <c r="M77" s="143">
        <v>89422</v>
      </c>
      <c r="N77" s="135">
        <f t="shared" si="4"/>
        <v>11.401122015898842</v>
      </c>
      <c r="O77" s="144">
        <f t="shared" si="5"/>
        <v>9.066481684881088E-4</v>
      </c>
    </row>
    <row r="78" spans="1:15">
      <c r="A78" s="88">
        <f t="shared" si="6"/>
        <v>11.416040045126518</v>
      </c>
      <c r="B78" s="82">
        <v>90766</v>
      </c>
      <c r="C78" s="82">
        <v>70946</v>
      </c>
      <c r="D78" s="85">
        <f t="shared" si="7"/>
        <v>11.169674303268108</v>
      </c>
      <c r="F78" s="3">
        <v>53</v>
      </c>
      <c r="G78" s="3">
        <v>10.856602247873955</v>
      </c>
      <c r="H78" s="3">
        <v>0.16199410785874591</v>
      </c>
      <c r="I78">
        <f t="shared" si="2"/>
        <v>14.955378452529896</v>
      </c>
      <c r="J78">
        <f t="shared" si="3"/>
        <v>51875.518251525813</v>
      </c>
      <c r="M78" s="143">
        <v>52294</v>
      </c>
      <c r="N78" s="135">
        <f t="shared" si="4"/>
        <v>10.86463692071851</v>
      </c>
      <c r="O78" s="144">
        <f t="shared" si="5"/>
        <v>0.25641513044327924</v>
      </c>
    </row>
    <row r="79" spans="1:15">
      <c r="A79" s="88">
        <f t="shared" si="6"/>
        <v>10.951806047149772</v>
      </c>
      <c r="B79" s="82">
        <v>57057</v>
      </c>
      <c r="C79" s="82">
        <v>41840</v>
      </c>
      <c r="D79" s="85">
        <f t="shared" si="7"/>
        <v>10.641608098738805</v>
      </c>
      <c r="F79" s="3">
        <v>54</v>
      </c>
      <c r="G79" s="3">
        <v>10.854471969457792</v>
      </c>
      <c r="H79" s="3">
        <v>9.8665192697177773E-2</v>
      </c>
      <c r="I79">
        <f t="shared" si="2"/>
        <v>9.3953991932625058</v>
      </c>
      <c r="J79">
        <f t="shared" si="3"/>
        <v>51765.126578913332</v>
      </c>
      <c r="M79" s="143">
        <v>52126</v>
      </c>
      <c r="N79" s="135">
        <f t="shared" si="4"/>
        <v>10.861419143569357</v>
      </c>
      <c r="O79" s="144">
        <f t="shared" si="5"/>
        <v>0.25968428509889713</v>
      </c>
    </row>
    <row r="80" spans="1:15">
      <c r="A80" s="88">
        <f t="shared" si="6"/>
        <v>11.197282779159096</v>
      </c>
      <c r="B80" s="82">
        <v>72932</v>
      </c>
      <c r="C80" s="82">
        <v>60844</v>
      </c>
      <c r="D80" s="85">
        <f t="shared" si="7"/>
        <v>11.016068490431634</v>
      </c>
      <c r="F80" s="3">
        <v>55</v>
      </c>
      <c r="G80" s="3">
        <v>11.400269806133531</v>
      </c>
      <c r="H80" s="3">
        <v>0.35063264870881028</v>
      </c>
      <c r="I80">
        <f t="shared" si="2"/>
        <v>29.575758929736939</v>
      </c>
      <c r="J80">
        <f t="shared" si="3"/>
        <v>89345.826161021338</v>
      </c>
      <c r="M80" s="143">
        <v>118877</v>
      </c>
      <c r="N80" s="135">
        <f t="shared" si="4"/>
        <v>11.685844624101536</v>
      </c>
      <c r="O80" s="144">
        <f t="shared" si="5"/>
        <v>9.9119948319363146E-2</v>
      </c>
    </row>
    <row r="81" spans="1:15">
      <c r="A81" s="88">
        <f t="shared" si="6"/>
        <v>11.578657024154808</v>
      </c>
      <c r="B81" s="82">
        <v>106794</v>
      </c>
      <c r="C81" s="82">
        <v>188561</v>
      </c>
      <c r="D81" s="85">
        <f t="shared" si="7"/>
        <v>12.147176840947669</v>
      </c>
      <c r="F81" s="3">
        <v>56</v>
      </c>
      <c r="G81" s="3">
        <v>10.932089825732948</v>
      </c>
      <c r="H81" s="3">
        <v>-0.14974345533152977</v>
      </c>
      <c r="I81">
        <f t="shared" si="2"/>
        <v>16.153621857755326</v>
      </c>
      <c r="J81">
        <f t="shared" si="3"/>
        <v>55943.068895350698</v>
      </c>
      <c r="M81" s="143">
        <v>58610</v>
      </c>
      <c r="N81" s="135">
        <f t="shared" si="4"/>
        <v>10.978660609470476</v>
      </c>
      <c r="O81" s="144">
        <f t="shared" si="5"/>
        <v>0.153939156137261</v>
      </c>
    </row>
    <row r="82" spans="1:15">
      <c r="A82" s="88">
        <f t="shared" si="6"/>
        <v>11.811480709652788</v>
      </c>
      <c r="B82" s="82">
        <v>134791</v>
      </c>
      <c r="C82" s="82">
        <v>163879</v>
      </c>
      <c r="D82" s="85">
        <f t="shared" si="7"/>
        <v>12.006883629616317</v>
      </c>
      <c r="F82" s="3">
        <v>57</v>
      </c>
      <c r="G82" s="3">
        <v>11.372913969243182</v>
      </c>
      <c r="H82" s="3">
        <v>-0.13753544446655042</v>
      </c>
      <c r="I82">
        <f t="shared" si="2"/>
        <v>14.744237573421382</v>
      </c>
      <c r="J82">
        <f t="shared" si="3"/>
        <v>86934.824155126975</v>
      </c>
      <c r="M82" s="143">
        <v>114065</v>
      </c>
      <c r="N82" s="135">
        <f t="shared" si="4"/>
        <v>11.644523740326974</v>
      </c>
      <c r="O82" s="144">
        <f t="shared" si="5"/>
        <v>7.4808991033893768E-2</v>
      </c>
    </row>
    <row r="83" spans="1:15">
      <c r="A83" s="88">
        <f t="shared" si="6"/>
        <v>11.339714282404227</v>
      </c>
      <c r="B83" s="82">
        <v>84096</v>
      </c>
      <c r="C83" s="82">
        <v>66006</v>
      </c>
      <c r="D83" s="85">
        <f t="shared" si="7"/>
        <v>11.097500925967491</v>
      </c>
      <c r="F83" s="3">
        <v>58</v>
      </c>
      <c r="G83" s="3">
        <v>10.929520749897405</v>
      </c>
      <c r="H83" s="3">
        <v>0.19096934997341108</v>
      </c>
      <c r="I83">
        <f t="shared" si="2"/>
        <v>17.384209047496423</v>
      </c>
      <c r="J83">
        <f t="shared" si="3"/>
        <v>55799.53136723044</v>
      </c>
      <c r="M83" s="143">
        <v>58383</v>
      </c>
      <c r="N83" s="135">
        <f t="shared" si="4"/>
        <v>10.974780030549274</v>
      </c>
      <c r="O83" s="144">
        <f t="shared" si="5"/>
        <v>0.15699931157654082</v>
      </c>
    </row>
    <row r="84" spans="1:15">
      <c r="A84" s="88">
        <f t="shared" si="6"/>
        <v>12.634824500413528</v>
      </c>
      <c r="B84" s="82">
        <v>307068</v>
      </c>
      <c r="C84" s="82">
        <v>162572</v>
      </c>
      <c r="D84" s="85">
        <f t="shared" si="7"/>
        <v>11.998876259545412</v>
      </c>
      <c r="F84" s="3">
        <v>59</v>
      </c>
      <c r="G84" s="3">
        <v>10.997515324954872</v>
      </c>
      <c r="H84" s="3">
        <v>0.18155846671672471</v>
      </c>
      <c r="I84">
        <f t="shared" si="2"/>
        <v>16.6030515579554</v>
      </c>
      <c r="J84">
        <f t="shared" si="3"/>
        <v>59725.558596254661</v>
      </c>
      <c r="M84" s="143">
        <v>64698</v>
      </c>
      <c r="N84" s="135">
        <f t="shared" si="4"/>
        <v>11.077485568110127</v>
      </c>
      <c r="O84" s="144">
        <f t="shared" si="5"/>
        <v>8.6157423942723479E-2</v>
      </c>
    </row>
    <row r="85" spans="1:15">
      <c r="A85" s="88">
        <f t="shared" si="6"/>
        <v>12.067689502174627</v>
      </c>
      <c r="B85" s="82">
        <v>174153</v>
      </c>
      <c r="C85" s="82">
        <v>110473</v>
      </c>
      <c r="D85" s="85">
        <f t="shared" si="7"/>
        <v>11.61252642619171</v>
      </c>
      <c r="F85" s="3">
        <v>60</v>
      </c>
      <c r="G85" s="3">
        <v>11.328805629338207</v>
      </c>
      <c r="H85" s="3">
        <v>-0.28617183509367905</v>
      </c>
      <c r="I85">
        <f t="shared" si="2"/>
        <v>33.132120330194361</v>
      </c>
      <c r="J85">
        <f t="shared" si="3"/>
        <v>83183.611424712042</v>
      </c>
      <c r="M85" s="143">
        <v>106713</v>
      </c>
      <c r="N85" s="135">
        <f t="shared" si="4"/>
        <v>11.577898266794289</v>
      </c>
      <c r="O85" s="144">
        <f t="shared" si="5"/>
        <v>4.2802168634577649E-2</v>
      </c>
    </row>
    <row r="86" spans="1:15" ht="17" thickBot="1">
      <c r="A86" s="89">
        <f t="shared" si="6"/>
        <v>11.453684884925956</v>
      </c>
      <c r="B86" s="83">
        <v>94248</v>
      </c>
      <c r="C86" s="83">
        <v>56942</v>
      </c>
      <c r="D86" s="86">
        <f t="shared" si="7"/>
        <v>10.949788484907829</v>
      </c>
      <c r="F86" s="3">
        <v>61</v>
      </c>
      <c r="G86" s="3">
        <v>11.096323953471105</v>
      </c>
      <c r="H86" s="3">
        <v>-2.2601368593900162E-2</v>
      </c>
      <c r="I86">
        <f t="shared" si="2"/>
        <v>2.2858714659047021</v>
      </c>
      <c r="J86">
        <f t="shared" si="3"/>
        <v>65928.358453348876</v>
      </c>
      <c r="M86" s="143">
        <v>75112</v>
      </c>
      <c r="N86" s="135">
        <f t="shared" si="4"/>
        <v>11.226735611938384</v>
      </c>
      <c r="O86" s="144">
        <f t="shared" si="5"/>
        <v>2.0815507914480551E-2</v>
      </c>
    </row>
    <row r="87" spans="1:15">
      <c r="F87" s="3">
        <v>62</v>
      </c>
      <c r="G87" s="3">
        <v>11.194211257642294</v>
      </c>
      <c r="H87" s="3">
        <v>-3.236215225801331E-2</v>
      </c>
      <c r="I87">
        <f t="shared" si="2"/>
        <v>3.2891501568811008</v>
      </c>
      <c r="J87">
        <f t="shared" si="3"/>
        <v>72708.331469933313</v>
      </c>
      <c r="M87" s="143">
        <v>87081</v>
      </c>
      <c r="N87" s="135">
        <f t="shared" si="4"/>
        <v>11.374593998975703</v>
      </c>
      <c r="O87" s="144">
        <f t="shared" si="5"/>
        <v>1.2834893903081962E-5</v>
      </c>
    </row>
    <row r="88" spans="1:15">
      <c r="F88" s="3">
        <v>63</v>
      </c>
      <c r="G88" s="3">
        <v>11.006923620660896</v>
      </c>
      <c r="H88" s="3">
        <v>-2.7990057488496589E-2</v>
      </c>
      <c r="I88">
        <f t="shared" si="2"/>
        <v>2.8385459636333557</v>
      </c>
      <c r="J88">
        <f t="shared" si="3"/>
        <v>60290.125956639691</v>
      </c>
      <c r="M88" s="143">
        <v>65624</v>
      </c>
      <c r="N88" s="135">
        <f t="shared" si="4"/>
        <v>11.091696761682586</v>
      </c>
      <c r="O88" s="144">
        <f t="shared" si="5"/>
        <v>7.80166766524409E-2</v>
      </c>
    </row>
    <row r="89" spans="1:15">
      <c r="F89" s="3">
        <v>64</v>
      </c>
      <c r="G89" s="3">
        <v>11.479519054821896</v>
      </c>
      <c r="H89" s="3">
        <v>0.29853607812960092</v>
      </c>
      <c r="I89">
        <f t="shared" si="2"/>
        <v>25.809648512390464</v>
      </c>
      <c r="J89">
        <f t="shared" si="3"/>
        <v>96714.542199247793</v>
      </c>
      <c r="M89" s="143">
        <v>133994</v>
      </c>
      <c r="N89" s="135">
        <f t="shared" si="4"/>
        <v>11.805550301811165</v>
      </c>
      <c r="O89" s="144">
        <f t="shared" si="5"/>
        <v>0.18882404244815995</v>
      </c>
    </row>
    <row r="90" spans="1:15">
      <c r="F90" s="3">
        <v>65</v>
      </c>
      <c r="G90" s="3">
        <v>11.591878352004075</v>
      </c>
      <c r="H90" s="3">
        <v>-0.31367572022183232</v>
      </c>
      <c r="I90">
        <f t="shared" si="2"/>
        <v>36.844590525391908</v>
      </c>
      <c r="J90">
        <f t="shared" si="3"/>
        <v>108215.33374157466</v>
      </c>
      <c r="M90" s="143">
        <v>158779</v>
      </c>
      <c r="N90" s="135">
        <f t="shared" si="4"/>
        <v>11.97526857723685</v>
      </c>
      <c r="O90" s="144">
        <f t="shared" si="5"/>
        <v>0.36512671574649119</v>
      </c>
    </row>
    <row r="91" spans="1:15">
      <c r="F91" s="3">
        <v>66</v>
      </c>
      <c r="G91" s="3">
        <v>10.947563260918397</v>
      </c>
      <c r="H91" s="3">
        <v>6.1429436543011917E-2</v>
      </c>
      <c r="I91">
        <f t="shared" ref="I91:I110" si="8">ABS((J91-C67)/C67)*100</f>
        <v>5.9580697364772437</v>
      </c>
      <c r="J91">
        <f t="shared" ref="J91:J110" si="9">EXP(G91)</f>
        <v>56815.432168707273</v>
      </c>
      <c r="M91" s="143">
        <v>59996</v>
      </c>
      <c r="N91" s="135">
        <f t="shared" ref="N91:N110" si="10">LN(M91)</f>
        <v>11.002033172315251</v>
      </c>
      <c r="O91" s="144">
        <f t="shared" ref="O91:O110" si="11">(N91-$N$111)^2</f>
        <v>0.13614494502072447</v>
      </c>
    </row>
    <row r="92" spans="1:15">
      <c r="F92" s="3">
        <v>67</v>
      </c>
      <c r="G92" s="3">
        <v>11.216186255660157</v>
      </c>
      <c r="H92" s="3">
        <v>-0.2621743252629738</v>
      </c>
      <c r="I92">
        <f t="shared" si="8"/>
        <v>29.975310248262904</v>
      </c>
      <c r="J92">
        <f t="shared" si="9"/>
        <v>74323.781659264176</v>
      </c>
      <c r="M92" s="143">
        <v>90020</v>
      </c>
      <c r="N92" s="135">
        <f t="shared" si="10"/>
        <v>11.407787146846923</v>
      </c>
      <c r="O92" s="144">
        <f t="shared" si="11"/>
        <v>1.3524543087553719E-3</v>
      </c>
    </row>
    <row r="93" spans="1:15">
      <c r="F93" s="3">
        <v>68</v>
      </c>
      <c r="G93" s="3">
        <v>11.091245310294131</v>
      </c>
      <c r="H93" s="3">
        <v>-0.17310695627076633</v>
      </c>
      <c r="I93">
        <f t="shared" si="8"/>
        <v>18.899326856941666</v>
      </c>
      <c r="J93">
        <f t="shared" si="9"/>
        <v>65594.380640437579</v>
      </c>
      <c r="M93" s="143">
        <v>74538</v>
      </c>
      <c r="N93" s="135">
        <f t="shared" si="10"/>
        <v>11.219064341441731</v>
      </c>
      <c r="O93" s="144">
        <f t="shared" si="11"/>
        <v>2.3087913758391455E-2</v>
      </c>
    </row>
    <row r="94" spans="1:15">
      <c r="F94" s="3">
        <v>69</v>
      </c>
      <c r="G94" s="3">
        <v>11.106001120279862</v>
      </c>
      <c r="H94" s="3">
        <v>-2.8391908387312981E-2</v>
      </c>
      <c r="I94">
        <f t="shared" si="8"/>
        <v>2.8798800302714533</v>
      </c>
      <c r="J94">
        <f t="shared" si="9"/>
        <v>66569.455172387447</v>
      </c>
      <c r="M94" s="143">
        <v>76218</v>
      </c>
      <c r="N94" s="135">
        <f t="shared" si="10"/>
        <v>11.241352934251516</v>
      </c>
      <c r="O94" s="144">
        <f t="shared" si="11"/>
        <v>1.6811322138127107E-2</v>
      </c>
    </row>
    <row r="95" spans="1:15">
      <c r="F95" s="3">
        <v>70</v>
      </c>
      <c r="G95" s="3">
        <v>11.057351903867922</v>
      </c>
      <c r="H95" s="3">
        <v>0.21380768566000263</v>
      </c>
      <c r="I95">
        <f t="shared" si="8"/>
        <v>19.249633537473617</v>
      </c>
      <c r="J95">
        <f t="shared" si="9"/>
        <v>63408.417761034216</v>
      </c>
      <c r="M95" s="143">
        <v>70818</v>
      </c>
      <c r="N95" s="135">
        <f t="shared" si="10"/>
        <v>11.167868484657124</v>
      </c>
      <c r="O95" s="144">
        <f t="shared" si="11"/>
        <v>4.1267050944393063E-2</v>
      </c>
    </row>
    <row r="96" spans="1:15">
      <c r="F96" s="3">
        <v>71</v>
      </c>
      <c r="G96" s="3">
        <v>11.130781870290576</v>
      </c>
      <c r="H96" s="3">
        <v>7.9253125275187131E-2</v>
      </c>
      <c r="I96">
        <f t="shared" si="8"/>
        <v>7.6193943814839544</v>
      </c>
      <c r="J96">
        <f t="shared" si="9"/>
        <v>68239.705758285432</v>
      </c>
      <c r="M96" s="143">
        <v>79125</v>
      </c>
      <c r="N96" s="135">
        <f t="shared" si="10"/>
        <v>11.278784159446477</v>
      </c>
      <c r="O96" s="144">
        <f t="shared" si="11"/>
        <v>8.505867028366693E-3</v>
      </c>
    </row>
    <row r="97" spans="6:15">
      <c r="F97" s="3">
        <v>72</v>
      </c>
      <c r="G97" s="3">
        <v>11.401182503959401</v>
      </c>
      <c r="H97" s="3">
        <v>0.30983123397938961</v>
      </c>
      <c r="I97">
        <f t="shared" si="8"/>
        <v>26.642925240598569</v>
      </c>
      <c r="J97">
        <f t="shared" si="9"/>
        <v>89427.409126943501</v>
      </c>
      <c r="M97" s="143">
        <v>119041</v>
      </c>
      <c r="N97" s="135">
        <f t="shared" si="10"/>
        <v>11.68722325056927</v>
      </c>
      <c r="O97" s="144">
        <f t="shared" si="11"/>
        <v>9.9989923714875695E-2</v>
      </c>
    </row>
    <row r="98" spans="6:15">
      <c r="F98" s="3">
        <v>73</v>
      </c>
      <c r="G98" s="3">
        <v>11.179202302939522</v>
      </c>
      <c r="H98" s="3">
        <v>-5.8416130469543859E-2</v>
      </c>
      <c r="I98">
        <f t="shared" si="8"/>
        <v>6.0156067174307974</v>
      </c>
      <c r="J98">
        <f t="shared" si="9"/>
        <v>71625.204054363421</v>
      </c>
      <c r="M98" s="143">
        <v>85129</v>
      </c>
      <c r="N98" s="135">
        <f t="shared" si="10"/>
        <v>11.35192303206883</v>
      </c>
      <c r="O98" s="144">
        <f t="shared" si="11"/>
        <v>3.6436643773295142E-4</v>
      </c>
    </row>
    <row r="99" spans="6:15">
      <c r="F99" s="3">
        <v>74</v>
      </c>
      <c r="G99" s="3">
        <v>11.122344660096257</v>
      </c>
      <c r="H99" s="3">
        <v>-0.12453735197737537</v>
      </c>
      <c r="I99">
        <f t="shared" si="8"/>
        <v>13.262432542833224</v>
      </c>
      <c r="J99">
        <f t="shared" si="9"/>
        <v>67666.375074064854</v>
      </c>
      <c r="M99" s="143">
        <v>78123</v>
      </c>
      <c r="N99" s="135">
        <f t="shared" si="10"/>
        <v>11.266039786711017</v>
      </c>
      <c r="O99" s="144">
        <f t="shared" si="11"/>
        <v>1.1019043157016515E-2</v>
      </c>
    </row>
    <row r="100" spans="6:15">
      <c r="F100" s="3">
        <v>75</v>
      </c>
      <c r="G100" s="3">
        <v>11.488484864065487</v>
      </c>
      <c r="H100" s="3">
        <v>-7.763642243002522E-2</v>
      </c>
      <c r="I100">
        <f t="shared" si="8"/>
        <v>8.0729658168411831</v>
      </c>
      <c r="J100">
        <f t="shared" si="9"/>
        <v>97585.565213974915</v>
      </c>
      <c r="M100" s="143">
        <v>135821</v>
      </c>
      <c r="N100" s="135">
        <f t="shared" si="10"/>
        <v>11.819093121326587</v>
      </c>
      <c r="O100" s="144">
        <f t="shared" si="11"/>
        <v>0.20077721378854585</v>
      </c>
    </row>
    <row r="101" spans="6:15">
      <c r="F101" s="3">
        <v>76</v>
      </c>
      <c r="G101" s="3">
        <v>11.363838421741139</v>
      </c>
      <c r="H101" s="3">
        <v>0.37018049452358248</v>
      </c>
      <c r="I101">
        <f t="shared" si="8"/>
        <v>30.939033187578669</v>
      </c>
      <c r="J101">
        <f t="shared" si="9"/>
        <v>86149.412440486863</v>
      </c>
      <c r="M101" s="143">
        <v>112512</v>
      </c>
      <c r="N101" s="135">
        <f t="shared" si="10"/>
        <v>11.630815161604794</v>
      </c>
      <c r="O101" s="144">
        <f t="shared" si="11"/>
        <v>6.7497985731735877E-2</v>
      </c>
    </row>
    <row r="102" spans="6:15">
      <c r="F102" s="3">
        <v>77</v>
      </c>
      <c r="G102" s="3">
        <v>11.221649956302208</v>
      </c>
      <c r="H102" s="3">
        <v>-5.1975653034100233E-2</v>
      </c>
      <c r="I102">
        <f t="shared" si="8"/>
        <v>5.3350096322286484</v>
      </c>
      <c r="J102">
        <f t="shared" si="9"/>
        <v>74730.975933680937</v>
      </c>
      <c r="M102" s="143">
        <v>90766</v>
      </c>
      <c r="N102" s="135">
        <f t="shared" si="10"/>
        <v>11.416040045126518</v>
      </c>
      <c r="O102" s="144">
        <f t="shared" si="11"/>
        <v>2.0275773546068686E-3</v>
      </c>
    </row>
    <row r="103" spans="6:15">
      <c r="F103" s="3">
        <v>78</v>
      </c>
      <c r="G103" s="3">
        <v>10.914311187923193</v>
      </c>
      <c r="H103" s="3">
        <v>-0.27270308918438779</v>
      </c>
      <c r="I103">
        <f t="shared" si="8"/>
        <v>31.351019153980118</v>
      </c>
      <c r="J103">
        <f t="shared" si="9"/>
        <v>54957.266414025282</v>
      </c>
      <c r="M103" s="143">
        <v>57057</v>
      </c>
      <c r="N103" s="135">
        <f t="shared" si="10"/>
        <v>10.951806047149772</v>
      </c>
      <c r="O103" s="144">
        <f t="shared" si="11"/>
        <v>0.17573314207728066</v>
      </c>
    </row>
    <row r="104" spans="6:15">
      <c r="F104" s="3">
        <v>79</v>
      </c>
      <c r="G104" s="3">
        <v>11.076825171841342</v>
      </c>
      <c r="H104" s="3">
        <v>-6.075668140970869E-2</v>
      </c>
      <c r="I104">
        <f t="shared" si="8"/>
        <v>6.2640322583121337</v>
      </c>
      <c r="J104">
        <f t="shared" si="9"/>
        <v>64655.287787247435</v>
      </c>
      <c r="M104" s="143">
        <v>72932</v>
      </c>
      <c r="N104" s="135">
        <f t="shared" si="10"/>
        <v>11.197282779159096</v>
      </c>
      <c r="O104" s="144">
        <f t="shared" si="11"/>
        <v>3.0181639591971361E-2</v>
      </c>
    </row>
    <row r="105" spans="6:15">
      <c r="F105" s="3">
        <v>80</v>
      </c>
      <c r="G105" s="3">
        <v>11.329307952635718</v>
      </c>
      <c r="H105" s="3">
        <v>0.81786888831195093</v>
      </c>
      <c r="I105">
        <f t="shared" si="8"/>
        <v>55.862873559609206</v>
      </c>
      <c r="J105">
        <f t="shared" si="9"/>
        <v>83225.406987265291</v>
      </c>
      <c r="M105" s="143">
        <v>106794</v>
      </c>
      <c r="N105" s="135">
        <f t="shared" si="10"/>
        <v>11.578657024154808</v>
      </c>
      <c r="O105" s="144">
        <f t="shared" si="11"/>
        <v>4.3116698187523131E-2</v>
      </c>
    </row>
    <row r="106" spans="6:15">
      <c r="F106" s="3">
        <v>81</v>
      </c>
      <c r="G106" s="3">
        <v>11.483445187440301</v>
      </c>
      <c r="H106" s="3">
        <v>0.52343844217601543</v>
      </c>
      <c r="I106">
        <f t="shared" si="8"/>
        <v>40.752016610718471</v>
      </c>
      <c r="J106">
        <f t="shared" si="9"/>
        <v>97095.002698520679</v>
      </c>
      <c r="M106" s="143">
        <v>134791</v>
      </c>
      <c r="N106" s="135">
        <f t="shared" si="10"/>
        <v>11.811480709652788</v>
      </c>
      <c r="O106" s="144">
        <f t="shared" si="11"/>
        <v>0.19401319780575715</v>
      </c>
    </row>
    <row r="107" spans="6:15">
      <c r="F107" s="3">
        <v>82</v>
      </c>
      <c r="G107" s="3">
        <v>11.171119693519014</v>
      </c>
      <c r="H107" s="3">
        <v>-7.3618767551522524E-2</v>
      </c>
      <c r="I107">
        <f t="shared" si="8"/>
        <v>7.6396370041851567</v>
      </c>
      <c r="J107">
        <f t="shared" si="9"/>
        <v>71048.618800982455</v>
      </c>
      <c r="M107" s="143">
        <v>84096</v>
      </c>
      <c r="N107" s="135">
        <f t="shared" si="10"/>
        <v>11.339714282404227</v>
      </c>
      <c r="O107" s="144">
        <f t="shared" si="11"/>
        <v>9.7951063136858725E-4</v>
      </c>
    </row>
    <row r="108" spans="6:15">
      <c r="F108" s="3">
        <v>83</v>
      </c>
      <c r="G108" s="3">
        <v>12.028526908528704</v>
      </c>
      <c r="H108" s="3">
        <v>-2.9650648983292172E-2</v>
      </c>
      <c r="I108">
        <f t="shared" si="8"/>
        <v>3.0094606488583295</v>
      </c>
      <c r="J108">
        <f t="shared" si="9"/>
        <v>167464.54036606196</v>
      </c>
      <c r="M108" s="143">
        <v>307068</v>
      </c>
      <c r="N108" s="135">
        <f t="shared" si="10"/>
        <v>12.634824500413528</v>
      </c>
      <c r="O108" s="144">
        <f t="shared" si="11"/>
        <v>1.5972235099096688</v>
      </c>
    </row>
    <row r="109" spans="6:15">
      <c r="F109" s="3">
        <v>84</v>
      </c>
      <c r="G109" s="3">
        <v>11.65306416210549</v>
      </c>
      <c r="H109" s="3">
        <v>-4.0537735913780182E-2</v>
      </c>
      <c r="I109">
        <f t="shared" si="8"/>
        <v>4.1370606032474564</v>
      </c>
      <c r="J109">
        <f t="shared" si="9"/>
        <v>115043.33496022556</v>
      </c>
      <c r="M109" s="143">
        <v>174153</v>
      </c>
      <c r="N109" s="135">
        <f t="shared" si="10"/>
        <v>12.067689502174627</v>
      </c>
      <c r="O109" s="144">
        <f t="shared" si="11"/>
        <v>0.48536035441906633</v>
      </c>
    </row>
    <row r="110" spans="6:15" ht="17" thickBot="1">
      <c r="F110" s="4">
        <v>85</v>
      </c>
      <c r="G110" s="4">
        <v>11.246572126479766</v>
      </c>
      <c r="H110" s="4">
        <v>-0.29678364157193649</v>
      </c>
      <c r="I110">
        <f t="shared" si="8"/>
        <v>34.552415246263216</v>
      </c>
      <c r="J110">
        <f t="shared" si="9"/>
        <v>76616.8362895272</v>
      </c>
      <c r="M110" s="145">
        <v>94248</v>
      </c>
      <c r="N110" s="136">
        <f t="shared" si="10"/>
        <v>11.453684884925956</v>
      </c>
      <c r="O110" s="146">
        <f t="shared" si="11"/>
        <v>6.8349023056065786E-3</v>
      </c>
    </row>
    <row r="111" spans="6:15" ht="17" thickBot="1">
      <c r="G111" s="249" t="s">
        <v>34</v>
      </c>
      <c r="H111" s="250"/>
      <c r="I111" s="129">
        <f>AVERAGE(I26:I110)</f>
        <v>17.278054888443791</v>
      </c>
      <c r="M111" s="137">
        <f>AVERAGE(M26:M110)</f>
        <v>92206.317647058822</v>
      </c>
      <c r="N111" s="138">
        <f>AVERAGE(N26:N110)</f>
        <v>11.371011416959464</v>
      </c>
      <c r="O111" s="139">
        <f>SUM(O26:O110)</f>
        <v>9.8773979035220503</v>
      </c>
    </row>
    <row r="112" spans="6:15" ht="17" thickBot="1"/>
    <row r="113" spans="12:16" ht="17" thickBot="1">
      <c r="M113" s="150" t="s">
        <v>153</v>
      </c>
      <c r="N113" s="148">
        <f>M111*1.05</f>
        <v>96816.633529411774</v>
      </c>
    </row>
    <row r="114" spans="12:16" ht="17" thickBot="1">
      <c r="M114" s="151" t="s">
        <v>154</v>
      </c>
      <c r="N114" s="147">
        <f>39.01*N113^0.66</f>
        <v>76190.870482673665</v>
      </c>
    </row>
    <row r="115" spans="12:16" ht="17" thickBot="1">
      <c r="M115" s="152" t="s">
        <v>155</v>
      </c>
      <c r="N115" s="149">
        <f>G8*SQRT(1+1/G9+((LN(N113)-N111)^2)/O111)</f>
        <v>0.22860560862195786</v>
      </c>
    </row>
    <row r="116" spans="12:16" ht="17" thickBot="1"/>
    <row r="117" spans="12:16" ht="17" thickBot="1">
      <c r="M117" s="153">
        <f>LN(N114)-(I20*N115)</f>
        <v>10.78630956348675</v>
      </c>
      <c r="N117" s="154" t="s">
        <v>156</v>
      </c>
      <c r="O117" s="155">
        <f>LN(N114)+(I20*N115)</f>
        <v>11.695684285629827</v>
      </c>
    </row>
    <row r="118" spans="12:16" ht="17" thickBot="1">
      <c r="M118" s="156">
        <f>EXP(M117)</f>
        <v>48354.258014449886</v>
      </c>
      <c r="N118" s="157" t="s">
        <v>156</v>
      </c>
      <c r="O118" s="158">
        <f>EXP(O117)</f>
        <v>120052.48313753089</v>
      </c>
      <c r="P118" t="s">
        <v>157</v>
      </c>
    </row>
    <row r="119" spans="12:16" ht="17" thickBot="1"/>
    <row r="120" spans="12:16" ht="16" customHeight="1">
      <c r="L120" s="238" t="s">
        <v>158</v>
      </c>
      <c r="M120" s="239"/>
      <c r="N120" s="239"/>
      <c r="O120" s="239"/>
      <c r="P120" s="240"/>
    </row>
    <row r="121" spans="12:16">
      <c r="L121" s="241"/>
      <c r="M121" s="242"/>
      <c r="N121" s="242"/>
      <c r="O121" s="242"/>
      <c r="P121" s="243"/>
    </row>
    <row r="122" spans="12:16">
      <c r="L122" s="241"/>
      <c r="M122" s="242"/>
      <c r="N122" s="242"/>
      <c r="O122" s="242"/>
      <c r="P122" s="243"/>
    </row>
    <row r="123" spans="12:16">
      <c r="L123" s="241"/>
      <c r="M123" s="242"/>
      <c r="N123" s="242"/>
      <c r="O123" s="242"/>
      <c r="P123" s="243"/>
    </row>
    <row r="124" spans="12:16">
      <c r="L124" s="241"/>
      <c r="M124" s="242"/>
      <c r="N124" s="242"/>
      <c r="O124" s="242"/>
      <c r="P124" s="243"/>
    </row>
    <row r="125" spans="12:16" ht="17" thickBot="1">
      <c r="L125" s="244"/>
      <c r="M125" s="245"/>
      <c r="N125" s="245"/>
      <c r="O125" s="245"/>
      <c r="P125" s="246"/>
    </row>
  </sheetData>
  <mergeCells count="6">
    <mergeCell ref="L120:P125"/>
    <mergeCell ref="I21:I22"/>
    <mergeCell ref="J21:K22"/>
    <mergeCell ref="L13:N15"/>
    <mergeCell ref="G111:H111"/>
    <mergeCell ref="M24:O2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FA6B-CC9C-BB4E-938D-9E720554ACFF}">
  <dimension ref="A1:M111"/>
  <sheetViews>
    <sheetView topLeftCell="D49" zoomScale="188" workbookViewId="0">
      <selection activeCell="I111" sqref="I111"/>
    </sheetView>
  </sheetViews>
  <sheetFormatPr baseColWidth="10" defaultRowHeight="16"/>
  <cols>
    <col min="5" max="5" width="24.83203125" bestFit="1" customWidth="1"/>
    <col min="6" max="6" width="19.83203125" bestFit="1" customWidth="1"/>
    <col min="7" max="7" width="21.5" bestFit="1" customWidth="1"/>
    <col min="8" max="8" width="14.5" bestFit="1" customWidth="1"/>
    <col min="9" max="9" width="20.33203125" bestFit="1" customWidth="1"/>
    <col min="10" max="10" width="14" bestFit="1" customWidth="1"/>
    <col min="11" max="11" width="12.6640625" bestFit="1" customWidth="1"/>
    <col min="12" max="13" width="14.1640625" bestFit="1" customWidth="1"/>
  </cols>
  <sheetData>
    <row r="1" spans="1:13" ht="17" thickBot="1">
      <c r="A1" s="61" t="s">
        <v>136</v>
      </c>
      <c r="B1" s="62" t="s">
        <v>135</v>
      </c>
      <c r="C1" s="62" t="s">
        <v>141</v>
      </c>
    </row>
    <row r="2" spans="1:13">
      <c r="A2" s="90">
        <v>77149</v>
      </c>
      <c r="B2" s="63">
        <v>55280</v>
      </c>
      <c r="C2" s="93">
        <f>LN(B2)</f>
        <v>10.920166458441551</v>
      </c>
      <c r="E2" t="s">
        <v>0</v>
      </c>
    </row>
    <row r="3" spans="1:13" ht="17" thickBot="1">
      <c r="A3" s="91">
        <v>90442</v>
      </c>
      <c r="B3" s="82">
        <v>87040</v>
      </c>
      <c r="C3" s="94">
        <f t="shared" ref="C3:C66" si="0">LN(B3)</f>
        <v>11.374123062089769</v>
      </c>
    </row>
    <row r="4" spans="1:13">
      <c r="A4" s="91">
        <v>107047</v>
      </c>
      <c r="B4" s="82">
        <v>86404</v>
      </c>
      <c r="C4" s="94">
        <f t="shared" si="0"/>
        <v>11.366789250016803</v>
      </c>
      <c r="E4" s="6" t="s">
        <v>1</v>
      </c>
      <c r="F4" s="6"/>
    </row>
    <row r="5" spans="1:13">
      <c r="A5" s="91">
        <v>59369</v>
      </c>
      <c r="B5" s="82">
        <v>62551</v>
      </c>
      <c r="C5" s="94">
        <f t="shared" si="0"/>
        <v>11.043737502977494</v>
      </c>
      <c r="E5" s="3" t="s">
        <v>2</v>
      </c>
      <c r="F5" s="3">
        <v>0.66750738272448729</v>
      </c>
    </row>
    <row r="6" spans="1:13">
      <c r="A6" s="91">
        <v>83556</v>
      </c>
      <c r="B6" s="82">
        <v>65822</v>
      </c>
      <c r="C6" s="94">
        <f t="shared" si="0"/>
        <v>11.09470940793663</v>
      </c>
      <c r="E6" s="96" t="s">
        <v>3</v>
      </c>
      <c r="F6" s="96">
        <v>0.44556610599169511</v>
      </c>
      <c r="G6" s="97">
        <f>F6</f>
        <v>0.44556610599169511</v>
      </c>
    </row>
    <row r="7" spans="1:13">
      <c r="A7" s="91">
        <v>70346</v>
      </c>
      <c r="B7" s="82">
        <v>58487</v>
      </c>
      <c r="C7" s="94">
        <f t="shared" si="0"/>
        <v>10.976559786302708</v>
      </c>
      <c r="E7" s="3" t="s">
        <v>4</v>
      </c>
      <c r="F7" s="3">
        <v>0.43888617955786013</v>
      </c>
    </row>
    <row r="8" spans="1:13">
      <c r="A8" s="91">
        <v>78606</v>
      </c>
      <c r="B8" s="82">
        <v>64721</v>
      </c>
      <c r="C8" s="94">
        <f t="shared" si="0"/>
        <v>11.077841002787295</v>
      </c>
      <c r="E8" s="3" t="s">
        <v>5</v>
      </c>
      <c r="F8" s="3">
        <v>0.23983782261339825</v>
      </c>
    </row>
    <row r="9" spans="1:13" ht="17" thickBot="1">
      <c r="A9" s="91">
        <v>87372</v>
      </c>
      <c r="B9" s="82">
        <v>61254</v>
      </c>
      <c r="C9" s="94">
        <f t="shared" si="0"/>
        <v>11.022784432397071</v>
      </c>
      <c r="E9" s="4" t="s">
        <v>6</v>
      </c>
      <c r="F9" s="4">
        <v>85</v>
      </c>
    </row>
    <row r="10" spans="1:13">
      <c r="A10" s="91">
        <v>85908</v>
      </c>
      <c r="B10" s="82">
        <v>71493</v>
      </c>
      <c r="C10" s="94">
        <f t="shared" si="0"/>
        <v>11.177354821791473</v>
      </c>
    </row>
    <row r="11" spans="1:13" ht="17" thickBot="1">
      <c r="A11" s="91">
        <v>76797</v>
      </c>
      <c r="B11" s="82">
        <v>63353</v>
      </c>
      <c r="C11" s="94">
        <f t="shared" si="0"/>
        <v>11.056477540586986</v>
      </c>
      <c r="E11" t="s">
        <v>7</v>
      </c>
    </row>
    <row r="12" spans="1:13">
      <c r="A12" s="91">
        <v>87015</v>
      </c>
      <c r="B12" s="82">
        <v>78795</v>
      </c>
      <c r="C12" s="94">
        <f t="shared" si="0"/>
        <v>11.274604822056171</v>
      </c>
      <c r="E12" s="5"/>
      <c r="F12" s="5" t="s">
        <v>12</v>
      </c>
      <c r="G12" s="5" t="s">
        <v>13</v>
      </c>
      <c r="H12" s="5" t="s">
        <v>14</v>
      </c>
      <c r="I12" s="5" t="s">
        <v>15</v>
      </c>
      <c r="J12" s="5" t="s">
        <v>16</v>
      </c>
    </row>
    <row r="13" spans="1:13">
      <c r="A13" s="91">
        <v>83105</v>
      </c>
      <c r="B13" s="82">
        <v>85190</v>
      </c>
      <c r="C13" s="94">
        <f t="shared" si="0"/>
        <v>11.352639335036887</v>
      </c>
      <c r="E13" s="3" t="s">
        <v>8</v>
      </c>
      <c r="F13" s="3">
        <v>1</v>
      </c>
      <c r="G13" s="3">
        <v>3.8368587617940078</v>
      </c>
      <c r="H13" s="3">
        <v>3.8368587617940078</v>
      </c>
      <c r="I13" s="3">
        <v>66.702247458119388</v>
      </c>
      <c r="J13" s="103">
        <v>3.0217374958946499E-12</v>
      </c>
      <c r="K13" s="258" t="s">
        <v>147</v>
      </c>
      <c r="L13" s="258"/>
      <c r="M13" s="258"/>
    </row>
    <row r="14" spans="1:13">
      <c r="A14" s="91">
        <v>75584</v>
      </c>
      <c r="B14" s="82">
        <v>49722</v>
      </c>
      <c r="C14" s="94">
        <f t="shared" si="0"/>
        <v>10.814202770077097</v>
      </c>
      <c r="E14" s="3" t="s">
        <v>9</v>
      </c>
      <c r="F14" s="3">
        <v>83</v>
      </c>
      <c r="G14" s="3">
        <v>4.7743410359426788</v>
      </c>
      <c r="H14" s="3">
        <v>5.7522181155935888E-2</v>
      </c>
      <c r="I14" s="3"/>
      <c r="J14" s="3"/>
      <c r="K14" s="258"/>
      <c r="L14" s="258"/>
      <c r="M14" s="258"/>
    </row>
    <row r="15" spans="1:13" ht="17" thickBot="1">
      <c r="A15" s="91">
        <v>79302</v>
      </c>
      <c r="B15" s="82">
        <v>87154</v>
      </c>
      <c r="C15" s="94">
        <f t="shared" si="0"/>
        <v>11.375431947772114</v>
      </c>
      <c r="E15" s="4" t="s">
        <v>10</v>
      </c>
      <c r="F15" s="4">
        <v>84</v>
      </c>
      <c r="G15" s="4">
        <v>8.6111997977366865</v>
      </c>
      <c r="H15" s="4"/>
      <c r="I15" s="4"/>
      <c r="J15" s="4"/>
      <c r="K15" s="258"/>
      <c r="L15" s="258"/>
      <c r="M15" s="258"/>
    </row>
    <row r="16" spans="1:13" ht="17" thickBot="1">
      <c r="A16" s="91">
        <v>72618</v>
      </c>
      <c r="B16" s="82">
        <v>46507</v>
      </c>
      <c r="C16" s="94">
        <f t="shared" si="0"/>
        <v>10.747358117880204</v>
      </c>
    </row>
    <row r="17" spans="1:13">
      <c r="A17" s="91">
        <v>114401</v>
      </c>
      <c r="B17" s="82">
        <v>66608</v>
      </c>
      <c r="C17" s="94">
        <f t="shared" si="0"/>
        <v>11.106579969434756</v>
      </c>
      <c r="E17" s="5"/>
      <c r="F17" s="5" t="s">
        <v>17</v>
      </c>
      <c r="G17" s="5" t="s">
        <v>5</v>
      </c>
      <c r="H17" s="5" t="s">
        <v>18</v>
      </c>
      <c r="I17" s="5" t="s">
        <v>19</v>
      </c>
      <c r="J17" s="5" t="s">
        <v>20</v>
      </c>
      <c r="K17" s="5" t="s">
        <v>21</v>
      </c>
      <c r="L17" s="5" t="s">
        <v>22</v>
      </c>
      <c r="M17" s="5" t="s">
        <v>23</v>
      </c>
    </row>
    <row r="18" spans="1:13">
      <c r="A18" s="91">
        <v>80241</v>
      </c>
      <c r="B18" s="82">
        <v>74197</v>
      </c>
      <c r="C18" s="94">
        <f t="shared" si="0"/>
        <v>11.214478997071259</v>
      </c>
      <c r="E18" s="3" t="s">
        <v>11</v>
      </c>
      <c r="F18" s="3">
        <v>10.653308361834789</v>
      </c>
      <c r="G18" s="3">
        <v>7.0884746314713087E-2</v>
      </c>
      <c r="H18" s="3">
        <v>150.29056201367192</v>
      </c>
      <c r="I18" s="3">
        <v>6.7947302062483457E-103</v>
      </c>
      <c r="J18" s="3">
        <v>10.512321452386905</v>
      </c>
      <c r="K18" s="3">
        <v>10.794295271282673</v>
      </c>
      <c r="L18" s="3">
        <v>10.512321452386905</v>
      </c>
      <c r="M18" s="3">
        <v>10.794295271282673</v>
      </c>
    </row>
    <row r="19" spans="1:13" ht="17" thickBot="1">
      <c r="A19" s="91">
        <v>125583</v>
      </c>
      <c r="B19" s="82">
        <v>132710</v>
      </c>
      <c r="C19" s="94">
        <f t="shared" si="0"/>
        <v>11.795921575431295</v>
      </c>
      <c r="E19" s="4" t="s">
        <v>136</v>
      </c>
      <c r="F19" s="4">
        <v>5.8405011483726307E-6</v>
      </c>
      <c r="G19" s="4">
        <v>7.151215738016097E-7</v>
      </c>
      <c r="H19" s="4">
        <v>8.1671443882252568</v>
      </c>
      <c r="I19" s="4">
        <v>3.0217374958947048E-12</v>
      </c>
      <c r="J19" s="4">
        <v>4.4181531001456643E-6</v>
      </c>
      <c r="K19" s="4">
        <v>7.2628491965995972E-6</v>
      </c>
      <c r="L19" s="4">
        <v>4.4181531001456643E-6</v>
      </c>
      <c r="M19" s="4">
        <v>7.2628491965995972E-6</v>
      </c>
    </row>
    <row r="20" spans="1:13" ht="17" thickBot="1">
      <c r="A20" s="91">
        <v>67347</v>
      </c>
      <c r="B20" s="82">
        <v>48488</v>
      </c>
      <c r="C20" s="94">
        <f t="shared" si="0"/>
        <v>10.789071623631122</v>
      </c>
    </row>
    <row r="21" spans="1:13">
      <c r="A21" s="91">
        <v>83731</v>
      </c>
      <c r="B21" s="82">
        <v>78202</v>
      </c>
      <c r="C21" s="94">
        <f t="shared" si="0"/>
        <v>11.267050501653927</v>
      </c>
      <c r="H21" s="254" t="s">
        <v>143</v>
      </c>
      <c r="I21" s="256"/>
      <c r="J21" s="232"/>
      <c r="K21" s="233"/>
    </row>
    <row r="22" spans="1:13" ht="17" thickBot="1">
      <c r="A22" s="91">
        <v>83168</v>
      </c>
      <c r="B22" s="82">
        <v>58255</v>
      </c>
      <c r="C22" s="94">
        <f t="shared" si="0"/>
        <v>10.972585204654042</v>
      </c>
      <c r="H22" s="255"/>
      <c r="I22" s="257"/>
      <c r="J22" s="234"/>
      <c r="K22" s="235"/>
    </row>
    <row r="23" spans="1:13">
      <c r="A23" s="91">
        <v>72253</v>
      </c>
      <c r="B23" s="82">
        <v>56898</v>
      </c>
      <c r="C23" s="94">
        <f t="shared" si="0"/>
        <v>10.949015470111782</v>
      </c>
      <c r="E23" t="s">
        <v>25</v>
      </c>
      <c r="H23" s="109" t="s">
        <v>144</v>
      </c>
      <c r="I23" s="114">
        <f>EXP(F18)</f>
        <v>42332.414077612695</v>
      </c>
    </row>
    <row r="24" spans="1:13" ht="17" thickBot="1">
      <c r="A24" s="91">
        <v>184607</v>
      </c>
      <c r="B24" s="82">
        <v>70410</v>
      </c>
      <c r="C24" s="94">
        <f t="shared" si="0"/>
        <v>11.16209057751318</v>
      </c>
      <c r="H24" s="109" t="s">
        <v>145</v>
      </c>
      <c r="I24" s="115">
        <f>EXP(F19)</f>
        <v>1.0000058405182042</v>
      </c>
    </row>
    <row r="25" spans="1:13">
      <c r="A25" s="91">
        <v>108297</v>
      </c>
      <c r="B25" s="82">
        <v>95026</v>
      </c>
      <c r="C25" s="94">
        <f t="shared" si="0"/>
        <v>11.461905817348512</v>
      </c>
      <c r="E25" s="5" t="s">
        <v>26</v>
      </c>
      <c r="F25" s="5" t="s">
        <v>142</v>
      </c>
      <c r="G25" s="5" t="s">
        <v>28</v>
      </c>
      <c r="H25" s="123" t="s">
        <v>148</v>
      </c>
      <c r="I25" s="123" t="s">
        <v>150</v>
      </c>
    </row>
    <row r="26" spans="1:13">
      <c r="A26" s="91">
        <v>56306</v>
      </c>
      <c r="B26" s="82">
        <v>63209</v>
      </c>
      <c r="C26" s="94">
        <f t="shared" si="0"/>
        <v>11.054201975059602</v>
      </c>
      <c r="E26" s="3">
        <v>1</v>
      </c>
      <c r="F26" s="3">
        <v>11.103897184930588</v>
      </c>
      <c r="G26" s="3">
        <v>-0.18373072648903666</v>
      </c>
      <c r="H26">
        <f>EXP(F26)</f>
        <v>66429.544575503678</v>
      </c>
      <c r="I26">
        <f>ABS((H26-B2)/B2)*100</f>
        <v>20.169219564948769</v>
      </c>
    </row>
    <row r="27" spans="1:13">
      <c r="A27" s="91">
        <v>70911</v>
      </c>
      <c r="B27" s="82">
        <v>65127</v>
      </c>
      <c r="C27" s="94">
        <f t="shared" si="0"/>
        <v>11.084094488756865</v>
      </c>
      <c r="E27" s="3">
        <v>2</v>
      </c>
      <c r="F27" s="3">
        <v>11.181534966695907</v>
      </c>
      <c r="G27" s="3">
        <v>0.19258809539386235</v>
      </c>
      <c r="H27">
        <f t="shared" ref="H27:H90" si="1">EXP(F27)</f>
        <v>71792.47659134827</v>
      </c>
      <c r="I27">
        <f t="shared" ref="I27:I90" si="2">ABS((H27-B3)/B3)*100</f>
        <v>17.517834798542889</v>
      </c>
    </row>
    <row r="28" spans="1:13">
      <c r="A28" s="91">
        <v>79469</v>
      </c>
      <c r="B28" s="82">
        <v>82026</v>
      </c>
      <c r="C28" s="94">
        <f t="shared" si="0"/>
        <v>11.314791549160047</v>
      </c>
      <c r="E28" s="3">
        <v>3</v>
      </c>
      <c r="F28" s="3">
        <v>11.278516488264634</v>
      </c>
      <c r="G28" s="3">
        <v>8.8272761752168805E-2</v>
      </c>
      <c r="H28">
        <f t="shared" si="1"/>
        <v>79103.823352052263</v>
      </c>
      <c r="I28">
        <f t="shared" si="2"/>
        <v>8.4488873755239773</v>
      </c>
    </row>
    <row r="29" spans="1:13">
      <c r="A29" s="91">
        <v>92815</v>
      </c>
      <c r="B29" s="82">
        <v>67750</v>
      </c>
      <c r="C29" s="94">
        <f t="shared" si="0"/>
        <v>11.123579738741947</v>
      </c>
      <c r="E29" s="3">
        <v>4</v>
      </c>
      <c r="F29" s="3">
        <v>11.000053074512524</v>
      </c>
      <c r="G29" s="3">
        <v>4.3684428464970892E-2</v>
      </c>
      <c r="H29">
        <f t="shared" si="1"/>
        <v>59877.319590413463</v>
      </c>
      <c r="I29">
        <f t="shared" si="2"/>
        <v>4.2744007443310856</v>
      </c>
    </row>
    <row r="30" spans="1:13">
      <c r="A30" s="91">
        <v>130530</v>
      </c>
      <c r="B30" s="82">
        <v>156881</v>
      </c>
      <c r="C30" s="94">
        <f t="shared" si="0"/>
        <v>11.963242835148739</v>
      </c>
      <c r="E30" s="3">
        <v>5</v>
      </c>
      <c r="F30" s="3">
        <v>11.141317275788213</v>
      </c>
      <c r="G30" s="3">
        <v>-4.6607867851582441E-2</v>
      </c>
      <c r="H30">
        <f t="shared" si="1"/>
        <v>68962.439189413344</v>
      </c>
      <c r="I30">
        <f t="shared" si="2"/>
        <v>4.7711087317513048</v>
      </c>
    </row>
    <row r="31" spans="1:13">
      <c r="A31" s="91">
        <v>110587</v>
      </c>
      <c r="B31" s="82">
        <v>99205</v>
      </c>
      <c r="C31" s="94">
        <f t="shared" si="0"/>
        <v>11.504943695228571</v>
      </c>
      <c r="E31" s="3">
        <v>6</v>
      </c>
      <c r="F31" s="3">
        <v>11.064164255618209</v>
      </c>
      <c r="G31" s="3">
        <v>-8.7604469315500921E-2</v>
      </c>
      <c r="H31">
        <f t="shared" si="1"/>
        <v>63841.852886778572</v>
      </c>
      <c r="I31">
        <f t="shared" si="2"/>
        <v>9.1556292625345321</v>
      </c>
    </row>
    <row r="32" spans="1:13">
      <c r="A32" s="91">
        <v>140661</v>
      </c>
      <c r="B32" s="82">
        <v>114277</v>
      </c>
      <c r="C32" s="94">
        <f t="shared" si="0"/>
        <v>11.646380604687572</v>
      </c>
      <c r="E32" s="3">
        <v>7</v>
      </c>
      <c r="F32" s="3">
        <v>11.112406795103768</v>
      </c>
      <c r="G32" s="3">
        <v>-3.456579231647261E-2</v>
      </c>
      <c r="H32">
        <f t="shared" si="1"/>
        <v>66997.246137551294</v>
      </c>
      <c r="I32">
        <f t="shared" si="2"/>
        <v>3.5170132376682899</v>
      </c>
    </row>
    <row r="33" spans="1:9">
      <c r="A33" s="91">
        <v>95039</v>
      </c>
      <c r="B33" s="82">
        <v>135206</v>
      </c>
      <c r="C33" s="94">
        <f t="shared" si="0"/>
        <v>11.814554820304521</v>
      </c>
      <c r="E33" s="3">
        <v>8</v>
      </c>
      <c r="F33" s="3">
        <v>11.163604628170402</v>
      </c>
      <c r="G33" s="3">
        <v>-0.14082019577333149</v>
      </c>
      <c r="H33">
        <f t="shared" si="1"/>
        <v>70516.685049679931</v>
      </c>
      <c r="I33">
        <f t="shared" si="2"/>
        <v>15.121763557775706</v>
      </c>
    </row>
    <row r="34" spans="1:9">
      <c r="A34" s="91">
        <v>105440</v>
      </c>
      <c r="B34" s="82">
        <v>69546</v>
      </c>
      <c r="C34" s="94">
        <f t="shared" si="0"/>
        <v>11.1497436831168</v>
      </c>
      <c r="E34" s="3">
        <v>9</v>
      </c>
      <c r="F34" s="3">
        <v>11.155054134489184</v>
      </c>
      <c r="G34" s="3">
        <v>2.230068730228929E-2</v>
      </c>
      <c r="H34">
        <f t="shared" si="1"/>
        <v>69916.303018992257</v>
      </c>
      <c r="I34">
        <f t="shared" si="2"/>
        <v>2.2053865147745131</v>
      </c>
    </row>
    <row r="35" spans="1:9">
      <c r="A35" s="91">
        <v>80066</v>
      </c>
      <c r="B35" s="82">
        <v>62975</v>
      </c>
      <c r="C35" s="94">
        <f t="shared" si="0"/>
        <v>11.050493101220811</v>
      </c>
      <c r="E35" s="3">
        <v>10</v>
      </c>
      <c r="F35" s="3">
        <v>11.101841328526362</v>
      </c>
      <c r="G35" s="3">
        <v>-4.536378793937601E-2</v>
      </c>
      <c r="H35">
        <f t="shared" si="1"/>
        <v>66293.115258452948</v>
      </c>
      <c r="I35">
        <f t="shared" si="2"/>
        <v>4.6408461453332093</v>
      </c>
    </row>
    <row r="36" spans="1:9">
      <c r="A36" s="91">
        <v>113585</v>
      </c>
      <c r="B36" s="82">
        <v>76770</v>
      </c>
      <c r="C36" s="94">
        <f t="shared" si="0"/>
        <v>11.248569217821943</v>
      </c>
      <c r="E36" s="3">
        <v>11</v>
      </c>
      <c r="F36" s="3">
        <v>11.161519569260433</v>
      </c>
      <c r="G36" s="3">
        <v>0.113085252795738</v>
      </c>
      <c r="H36">
        <f t="shared" si="1"/>
        <v>70369.806785344859</v>
      </c>
      <c r="I36">
        <f t="shared" si="2"/>
        <v>10.692548022914069</v>
      </c>
    </row>
    <row r="37" spans="1:9">
      <c r="A37" s="91">
        <v>92297</v>
      </c>
      <c r="B37" s="82">
        <v>65404</v>
      </c>
      <c r="C37" s="94">
        <f t="shared" si="0"/>
        <v>11.088338697654477</v>
      </c>
      <c r="E37" s="3">
        <v>12</v>
      </c>
      <c r="F37" s="3">
        <v>11.138683209770296</v>
      </c>
      <c r="G37" s="3">
        <v>0.21395612526659136</v>
      </c>
      <c r="H37">
        <f t="shared" si="1"/>
        <v>68781.026603087579</v>
      </c>
      <c r="I37">
        <f t="shared" si="2"/>
        <v>19.261619200507596</v>
      </c>
    </row>
    <row r="38" spans="1:9">
      <c r="A38" s="91">
        <v>74419</v>
      </c>
      <c r="B38" s="82">
        <v>64059</v>
      </c>
      <c r="C38" s="94">
        <f t="shared" si="0"/>
        <v>11.067559812676024</v>
      </c>
      <c r="E38" s="3">
        <v>13</v>
      </c>
      <c r="F38" s="3">
        <v>11.094756800633386</v>
      </c>
      <c r="G38" s="3">
        <v>-0.28055403055628858</v>
      </c>
      <c r="H38">
        <f t="shared" si="1"/>
        <v>65825.119556007296</v>
      </c>
      <c r="I38">
        <f t="shared" si="2"/>
        <v>32.386306978816812</v>
      </c>
    </row>
    <row r="39" spans="1:9">
      <c r="A39" s="91">
        <v>77534</v>
      </c>
      <c r="B39" s="82">
        <v>56134</v>
      </c>
      <c r="C39" s="94">
        <f t="shared" si="0"/>
        <v>10.93549696853629</v>
      </c>
      <c r="E39" s="3">
        <v>14</v>
      </c>
      <c r="F39" s="3">
        <v>11.116471783903036</v>
      </c>
      <c r="G39" s="3">
        <v>0.25896016386907839</v>
      </c>
      <c r="H39">
        <f t="shared" si="1"/>
        <v>67270.143479218255</v>
      </c>
      <c r="I39">
        <f t="shared" si="2"/>
        <v>22.814622990088516</v>
      </c>
    </row>
    <row r="40" spans="1:9">
      <c r="A40" s="91">
        <v>76315</v>
      </c>
      <c r="B40" s="82">
        <v>57468</v>
      </c>
      <c r="C40" s="94">
        <f t="shared" si="0"/>
        <v>10.958983550130609</v>
      </c>
      <c r="E40" s="3">
        <v>15</v>
      </c>
      <c r="F40" s="3">
        <v>11.077433874227312</v>
      </c>
      <c r="G40" s="3">
        <v>-0.3300757563471084</v>
      </c>
      <c r="H40">
        <f t="shared" si="1"/>
        <v>64694.655595612981</v>
      </c>
      <c r="I40">
        <f t="shared" si="2"/>
        <v>39.107350711963754</v>
      </c>
    </row>
    <row r="41" spans="1:9">
      <c r="A41" s="91">
        <v>107695</v>
      </c>
      <c r="B41" s="82">
        <v>74845</v>
      </c>
      <c r="C41" s="94">
        <f t="shared" si="0"/>
        <v>11.223174587349336</v>
      </c>
      <c r="E41" s="3">
        <v>16</v>
      </c>
      <c r="F41" s="3">
        <v>11.321467533709766</v>
      </c>
      <c r="G41" s="3">
        <v>-0.21488756427500988</v>
      </c>
      <c r="H41">
        <f t="shared" si="1"/>
        <v>82575.43628210036</v>
      </c>
      <c r="I41">
        <f t="shared" si="2"/>
        <v>23.972250003153313</v>
      </c>
    </row>
    <row r="42" spans="1:9">
      <c r="A42" s="91">
        <v>134478</v>
      </c>
      <c r="B42" s="82">
        <v>88920</v>
      </c>
      <c r="C42" s="94">
        <f t="shared" si="0"/>
        <v>11.395492368078132</v>
      </c>
      <c r="E42" s="3">
        <v>17</v>
      </c>
      <c r="F42" s="3">
        <v>11.121956014481357</v>
      </c>
      <c r="G42" s="3">
        <v>9.2522982589901659E-2</v>
      </c>
      <c r="H42">
        <f t="shared" si="1"/>
        <v>67640.081943802026</v>
      </c>
      <c r="I42">
        <f t="shared" si="2"/>
        <v>8.837174085472423</v>
      </c>
    </row>
    <row r="43" spans="1:9">
      <c r="A43" s="91">
        <v>70545</v>
      </c>
      <c r="B43" s="82">
        <v>54986</v>
      </c>
      <c r="C43" s="94">
        <f t="shared" si="0"/>
        <v>10.91483388635787</v>
      </c>
      <c r="E43" s="3">
        <v>18</v>
      </c>
      <c r="F43" s="3">
        <v>11.386776017550869</v>
      </c>
      <c r="G43" s="3">
        <v>0.40914555788042684</v>
      </c>
      <c r="H43">
        <f t="shared" si="1"/>
        <v>88148.310156443156</v>
      </c>
      <c r="I43">
        <f t="shared" si="2"/>
        <v>33.578245681227372</v>
      </c>
    </row>
    <row r="44" spans="1:9">
      <c r="A44" s="91">
        <v>61750</v>
      </c>
      <c r="B44" s="82">
        <v>56301</v>
      </c>
      <c r="C44" s="94">
        <f t="shared" si="0"/>
        <v>10.938467575959383</v>
      </c>
      <c r="E44" s="3">
        <v>19</v>
      </c>
      <c r="F44" s="3">
        <v>11.04664859267424</v>
      </c>
      <c r="G44" s="3">
        <v>-0.257576969043118</v>
      </c>
      <c r="H44">
        <f t="shared" si="1"/>
        <v>62733.356871444819</v>
      </c>
      <c r="I44">
        <f t="shared" si="2"/>
        <v>29.379138903326226</v>
      </c>
    </row>
    <row r="45" spans="1:9">
      <c r="A45" s="91">
        <v>84262</v>
      </c>
      <c r="B45" s="82">
        <v>63529</v>
      </c>
      <c r="C45" s="94">
        <f t="shared" si="0"/>
        <v>11.0592517735417</v>
      </c>
      <c r="E45" s="3">
        <v>20</v>
      </c>
      <c r="F45" s="3">
        <v>11.142339363489178</v>
      </c>
      <c r="G45" s="3">
        <v>0.12471113816474855</v>
      </c>
      <c r="H45">
        <f t="shared" si="1"/>
        <v>69032.960883876425</v>
      </c>
      <c r="I45">
        <f t="shared" si="2"/>
        <v>11.724814091869229</v>
      </c>
    </row>
    <row r="46" spans="1:9">
      <c r="A46" s="91">
        <v>90667</v>
      </c>
      <c r="B46" s="82">
        <v>67579</v>
      </c>
      <c r="C46" s="94">
        <f t="shared" si="0"/>
        <v>11.121052562881498</v>
      </c>
      <c r="E46" s="3">
        <v>21</v>
      </c>
      <c r="F46" s="3">
        <v>11.139051161342644</v>
      </c>
      <c r="G46" s="3">
        <v>-0.16646595668860265</v>
      </c>
      <c r="H46">
        <f t="shared" si="1"/>
        <v>68806.33934662024</v>
      </c>
      <c r="I46">
        <f t="shared" si="2"/>
        <v>18.112332583675634</v>
      </c>
    </row>
    <row r="47" spans="1:9">
      <c r="A47" s="91">
        <v>73536</v>
      </c>
      <c r="B47" s="82">
        <v>72926</v>
      </c>
      <c r="C47" s="94">
        <f t="shared" si="0"/>
        <v>11.197200507360451</v>
      </c>
      <c r="E47" s="3">
        <v>22</v>
      </c>
      <c r="F47" s="3">
        <v>11.075302091308156</v>
      </c>
      <c r="G47" s="3">
        <v>-0.12628662119637468</v>
      </c>
      <c r="H47">
        <f t="shared" si="1"/>
        <v>64556.887531830078</v>
      </c>
      <c r="I47">
        <f t="shared" si="2"/>
        <v>13.46073241911856</v>
      </c>
    </row>
    <row r="48" spans="1:9">
      <c r="A48" s="91">
        <v>64100</v>
      </c>
      <c r="B48" s="82">
        <v>44639</v>
      </c>
      <c r="C48" s="94">
        <f t="shared" si="0"/>
        <v>10.706363195370585</v>
      </c>
      <c r="E48" s="3">
        <v>23</v>
      </c>
      <c r="F48" s="3">
        <v>11.731505757332416</v>
      </c>
      <c r="G48" s="3">
        <v>-0.56941517981923617</v>
      </c>
      <c r="H48">
        <f t="shared" si="1"/>
        <v>124430.89211188961</v>
      </c>
      <c r="I48">
        <f t="shared" si="2"/>
        <v>76.723323550475229</v>
      </c>
    </row>
    <row r="49" spans="1:9">
      <c r="A49" s="91">
        <v>24816</v>
      </c>
      <c r="B49" s="82">
        <v>40588</v>
      </c>
      <c r="C49" s="94">
        <f t="shared" si="0"/>
        <v>10.611227735398973</v>
      </c>
      <c r="E49" s="3">
        <v>24</v>
      </c>
      <c r="F49" s="3">
        <v>11.2858171147001</v>
      </c>
      <c r="G49" s="3">
        <v>0.17608870264841237</v>
      </c>
      <c r="H49">
        <f t="shared" si="1"/>
        <v>79683.444038577625</v>
      </c>
      <c r="I49">
        <f t="shared" si="2"/>
        <v>16.145640099996186</v>
      </c>
    </row>
    <row r="50" spans="1:9">
      <c r="A50" s="91">
        <v>40166</v>
      </c>
      <c r="B50" s="82">
        <v>49162</v>
      </c>
      <c r="C50" s="94">
        <f t="shared" si="0"/>
        <v>10.802876246334927</v>
      </c>
      <c r="E50" s="3">
        <v>25</v>
      </c>
      <c r="F50" s="3">
        <v>10.982163619495058</v>
      </c>
      <c r="G50" s="3">
        <v>7.2038355564544077E-2</v>
      </c>
      <c r="H50">
        <f t="shared" si="1"/>
        <v>58815.671441784471</v>
      </c>
      <c r="I50">
        <f t="shared" si="2"/>
        <v>6.950479454216218</v>
      </c>
    </row>
    <row r="51" spans="1:9">
      <c r="A51" s="91">
        <v>120273</v>
      </c>
      <c r="B51" s="82">
        <v>74210</v>
      </c>
      <c r="C51" s="94">
        <f t="shared" si="0"/>
        <v>11.214654190964179</v>
      </c>
      <c r="E51" s="3">
        <v>26</v>
      </c>
      <c r="F51" s="3">
        <v>11.06746413876704</v>
      </c>
      <c r="G51" s="3">
        <v>1.6630349989824822E-2</v>
      </c>
      <c r="H51">
        <f t="shared" si="1"/>
        <v>64052.871518236985</v>
      </c>
      <c r="I51">
        <f t="shared" si="2"/>
        <v>1.6492829114852745</v>
      </c>
    </row>
    <row r="52" spans="1:9">
      <c r="A52" s="91">
        <v>96407</v>
      </c>
      <c r="B52" s="82">
        <v>88854</v>
      </c>
      <c r="C52" s="94">
        <f t="shared" si="0"/>
        <v>11.394749852265559</v>
      </c>
      <c r="E52" s="3">
        <v>27</v>
      </c>
      <c r="F52" s="3">
        <v>11.117447147594813</v>
      </c>
      <c r="G52" s="3">
        <v>0.1973444015652337</v>
      </c>
      <c r="H52">
        <f t="shared" si="1"/>
        <v>67335.788343312859</v>
      </c>
      <c r="I52">
        <f t="shared" si="2"/>
        <v>17.909213733068956</v>
      </c>
    </row>
    <row r="53" spans="1:9">
      <c r="A53" s="91">
        <v>89422</v>
      </c>
      <c r="B53" s="82">
        <v>55310</v>
      </c>
      <c r="C53" s="94">
        <f t="shared" si="0"/>
        <v>10.920709002988724</v>
      </c>
      <c r="E53" s="3">
        <v>28</v>
      </c>
      <c r="F53" s="3">
        <v>11.195394475920995</v>
      </c>
      <c r="G53" s="3">
        <v>-7.1814737179048294E-2</v>
      </c>
      <c r="H53">
        <f t="shared" si="1"/>
        <v>72794.412212853829</v>
      </c>
      <c r="I53">
        <f t="shared" si="2"/>
        <v>7.4456268824410765</v>
      </c>
    </row>
    <row r="54" spans="1:9">
      <c r="A54" s="91">
        <v>52294</v>
      </c>
      <c r="B54" s="82">
        <v>60998</v>
      </c>
      <c r="C54" s="94">
        <f t="shared" si="0"/>
        <v>11.018596355732701</v>
      </c>
      <c r="E54" s="3">
        <v>29</v>
      </c>
      <c r="F54" s="3">
        <v>11.415668976731869</v>
      </c>
      <c r="G54" s="3">
        <v>0.5475738584168699</v>
      </c>
      <c r="H54">
        <f t="shared" si="1"/>
        <v>90732.325854183277</v>
      </c>
      <c r="I54">
        <f t="shared" si="2"/>
        <v>42.164872830882466</v>
      </c>
    </row>
    <row r="55" spans="1:9">
      <c r="A55" s="91">
        <v>52126</v>
      </c>
      <c r="B55" s="82">
        <v>57133</v>
      </c>
      <c r="C55" s="94">
        <f t="shared" si="0"/>
        <v>10.95313716215497</v>
      </c>
      <c r="E55" s="3">
        <v>30</v>
      </c>
      <c r="F55" s="3">
        <v>11.299191862329874</v>
      </c>
      <c r="G55" s="3">
        <v>0.20575183289869692</v>
      </c>
      <c r="H55">
        <f t="shared" si="1"/>
        <v>80756.348915107927</v>
      </c>
      <c r="I55">
        <f t="shared" si="2"/>
        <v>18.596493205878811</v>
      </c>
    </row>
    <row r="56" spans="1:9">
      <c r="A56" s="91">
        <v>118877</v>
      </c>
      <c r="B56" s="82">
        <v>126868</v>
      </c>
      <c r="C56" s="94">
        <f t="shared" si="0"/>
        <v>11.750902454842342</v>
      </c>
      <c r="E56" s="3">
        <v>31</v>
      </c>
      <c r="F56" s="3">
        <v>11.474839093866031</v>
      </c>
      <c r="G56" s="3">
        <v>0.17154151082154101</v>
      </c>
      <c r="H56">
        <f t="shared" si="1"/>
        <v>96262.979390226974</v>
      </c>
      <c r="I56">
        <f t="shared" si="2"/>
        <v>15.763469998138756</v>
      </c>
    </row>
    <row r="57" spans="1:9">
      <c r="A57" s="91">
        <v>58610</v>
      </c>
      <c r="B57" s="82">
        <v>48163</v>
      </c>
      <c r="C57" s="94">
        <f t="shared" si="0"/>
        <v>10.782346370401418</v>
      </c>
      <c r="E57" s="3">
        <v>32</v>
      </c>
      <c r="F57" s="3">
        <v>11.208383750474976</v>
      </c>
      <c r="G57" s="3">
        <v>0.60617106982954461</v>
      </c>
      <c r="H57">
        <f t="shared" si="1"/>
        <v>73746.126476853911</v>
      </c>
      <c r="I57">
        <f t="shared" si="2"/>
        <v>45.456469034766272</v>
      </c>
    </row>
    <row r="58" spans="1:9">
      <c r="A58" s="91">
        <v>114065</v>
      </c>
      <c r="B58" s="82">
        <v>75764</v>
      </c>
      <c r="C58" s="94">
        <f t="shared" si="0"/>
        <v>11.235378524776632</v>
      </c>
      <c r="E58" s="3">
        <v>33</v>
      </c>
      <c r="F58" s="3">
        <v>11.269130802919198</v>
      </c>
      <c r="G58" s="3">
        <v>-0.1193871198023988</v>
      </c>
      <c r="H58">
        <f t="shared" si="1"/>
        <v>78364.85305252143</v>
      </c>
      <c r="I58">
        <f t="shared" si="2"/>
        <v>12.680604279931886</v>
      </c>
    </row>
    <row r="59" spans="1:9">
      <c r="A59" s="91">
        <v>58383</v>
      </c>
      <c r="B59" s="82">
        <v>67541</v>
      </c>
      <c r="C59" s="94">
        <f t="shared" si="0"/>
        <v>11.120490099870816</v>
      </c>
      <c r="E59" s="3">
        <v>34</v>
      </c>
      <c r="F59" s="3">
        <v>11.120933926780392</v>
      </c>
      <c r="G59" s="3">
        <v>-7.0440825559581199E-2</v>
      </c>
      <c r="H59">
        <f t="shared" si="1"/>
        <v>67570.98316647562</v>
      </c>
      <c r="I59">
        <f t="shared" si="2"/>
        <v>7.2981074497429468</v>
      </c>
    </row>
    <row r="60" spans="1:9">
      <c r="A60" s="91">
        <v>64698</v>
      </c>
      <c r="B60" s="82">
        <v>71616</v>
      </c>
      <c r="C60" s="94">
        <f t="shared" si="0"/>
        <v>11.179073791671597</v>
      </c>
      <c r="E60" s="3">
        <v>35</v>
      </c>
      <c r="F60" s="3">
        <v>11.316701684772694</v>
      </c>
      <c r="G60" s="3">
        <v>-6.813246695075037E-2</v>
      </c>
      <c r="H60">
        <f t="shared" si="1"/>
        <v>82182.830519858966</v>
      </c>
      <c r="I60">
        <f t="shared" si="2"/>
        <v>7.0507105898905378</v>
      </c>
    </row>
    <row r="61" spans="1:9">
      <c r="A61" s="91">
        <v>106713</v>
      </c>
      <c r="B61" s="82">
        <v>62482</v>
      </c>
      <c r="C61" s="94">
        <f t="shared" si="0"/>
        <v>11.042633794244528</v>
      </c>
      <c r="E61" s="3">
        <v>36</v>
      </c>
      <c r="F61" s="3">
        <v>11.192369096326138</v>
      </c>
      <c r="G61" s="3">
        <v>-0.10403039867166086</v>
      </c>
      <c r="H61">
        <f t="shared" si="1"/>
        <v>72574.51428859758</v>
      </c>
      <c r="I61">
        <f t="shared" si="2"/>
        <v>10.963418580817045</v>
      </c>
    </row>
    <row r="62" spans="1:9">
      <c r="A62" s="91">
        <v>75112</v>
      </c>
      <c r="B62" s="82">
        <v>64455</v>
      </c>
      <c r="C62" s="94">
        <f t="shared" si="0"/>
        <v>11.073722584877205</v>
      </c>
      <c r="E62" s="3">
        <v>37</v>
      </c>
      <c r="F62" s="3">
        <v>11.087952616795532</v>
      </c>
      <c r="G62" s="3">
        <v>-2.0392804119508057E-2</v>
      </c>
      <c r="H62">
        <f t="shared" si="1"/>
        <v>65378.753641383038</v>
      </c>
      <c r="I62">
        <f t="shared" si="2"/>
        <v>2.0602158032174063</v>
      </c>
    </row>
    <row r="63" spans="1:9">
      <c r="A63" s="91">
        <v>87081</v>
      </c>
      <c r="B63" s="82">
        <v>70393</v>
      </c>
      <c r="C63" s="94">
        <f t="shared" si="0"/>
        <v>11.161849105384281</v>
      </c>
      <c r="E63" s="3">
        <v>38</v>
      </c>
      <c r="F63" s="3">
        <v>11.106145777872712</v>
      </c>
      <c r="G63" s="3">
        <v>-0.17064880933642179</v>
      </c>
      <c r="H63">
        <f t="shared" si="1"/>
        <v>66579.085646073814</v>
      </c>
      <c r="I63">
        <f t="shared" si="2"/>
        <v>18.607413770751798</v>
      </c>
    </row>
    <row r="64" spans="1:9">
      <c r="A64" s="91">
        <v>65624</v>
      </c>
      <c r="B64" s="82">
        <v>58626</v>
      </c>
      <c r="C64" s="94">
        <f t="shared" si="0"/>
        <v>10.978933563172399</v>
      </c>
      <c r="E64" s="3">
        <v>39</v>
      </c>
      <c r="F64" s="3">
        <v>11.099026206972846</v>
      </c>
      <c r="G64" s="3">
        <v>-0.14004265684223682</v>
      </c>
      <c r="H64">
        <f t="shared" si="1"/>
        <v>66106.754517982103</v>
      </c>
      <c r="I64">
        <f t="shared" si="2"/>
        <v>15.032286695173145</v>
      </c>
    </row>
    <row r="65" spans="1:9">
      <c r="A65" s="91">
        <v>133994</v>
      </c>
      <c r="B65" s="82">
        <v>130360</v>
      </c>
      <c r="C65" s="94">
        <f t="shared" si="0"/>
        <v>11.778055132951497</v>
      </c>
      <c r="E65" s="3">
        <v>40</v>
      </c>
      <c r="F65" s="3">
        <v>11.282301133008779</v>
      </c>
      <c r="G65" s="3">
        <v>-5.9126545659443863E-2</v>
      </c>
      <c r="H65">
        <f t="shared" si="1"/>
        <v>79403.770459940948</v>
      </c>
      <c r="I65">
        <f t="shared" si="2"/>
        <v>6.0909485736401203</v>
      </c>
    </row>
    <row r="66" spans="1:9">
      <c r="A66" s="91">
        <v>158779</v>
      </c>
      <c r="B66" s="82">
        <v>79079</v>
      </c>
      <c r="C66" s="94">
        <f t="shared" si="0"/>
        <v>11.278202631782243</v>
      </c>
      <c r="E66" s="3">
        <v>41</v>
      </c>
      <c r="F66" s="3">
        <v>11.438727275265643</v>
      </c>
      <c r="G66" s="3">
        <v>-4.3234907187510885E-2</v>
      </c>
      <c r="H66">
        <f t="shared" si="1"/>
        <v>92848.765891014496</v>
      </c>
      <c r="I66">
        <f t="shared" si="2"/>
        <v>4.4183152170653353</v>
      </c>
    </row>
    <row r="67" spans="1:9">
      <c r="A67" s="91">
        <v>59996</v>
      </c>
      <c r="B67" s="82">
        <v>60415</v>
      </c>
      <c r="C67" s="94">
        <f t="shared" ref="C67:C86" si="3">LN(B67)</f>
        <v>11.008992697461409</v>
      </c>
      <c r="E67" s="3">
        <v>42</v>
      </c>
      <c r="F67" s="3">
        <v>11.065326515346737</v>
      </c>
      <c r="G67" s="3">
        <v>-0.15049262898886617</v>
      </c>
      <c r="H67">
        <f t="shared" si="1"/>
        <v>63916.096838403289</v>
      </c>
      <c r="I67">
        <f t="shared" si="2"/>
        <v>16.240673695855833</v>
      </c>
    </row>
    <row r="68" spans="1:9">
      <c r="A68" s="91">
        <v>90020</v>
      </c>
      <c r="B68" s="82">
        <v>57183</v>
      </c>
      <c r="C68" s="94">
        <f t="shared" si="3"/>
        <v>10.954011930397183</v>
      </c>
      <c r="E68" s="3">
        <v>43</v>
      </c>
      <c r="F68" s="3">
        <v>11.013959307746799</v>
      </c>
      <c r="G68" s="3">
        <v>-7.5491731787415972E-2</v>
      </c>
      <c r="H68">
        <f t="shared" si="1"/>
        <v>60715.804130502896</v>
      </c>
      <c r="I68">
        <f t="shared" si="2"/>
        <v>7.8414311122411622</v>
      </c>
    </row>
    <row r="69" spans="1:9">
      <c r="A69" s="91">
        <v>74538</v>
      </c>
      <c r="B69" s="82">
        <v>55168</v>
      </c>
      <c r="C69" s="94">
        <f t="shared" si="3"/>
        <v>10.918138354023364</v>
      </c>
      <c r="E69" s="3">
        <v>44</v>
      </c>
      <c r="F69" s="3">
        <v>11.145440669598964</v>
      </c>
      <c r="G69" s="3">
        <v>-8.6188896057263875E-2</v>
      </c>
      <c r="H69">
        <f t="shared" si="1"/>
        <v>69247.385553648273</v>
      </c>
      <c r="I69">
        <f t="shared" si="2"/>
        <v>9.001220786803307</v>
      </c>
    </row>
    <row r="70" spans="1:9">
      <c r="A70" s="91">
        <v>76218</v>
      </c>
      <c r="B70" s="82">
        <v>64706</v>
      </c>
      <c r="C70" s="94">
        <f t="shared" si="3"/>
        <v>11.077609211892549</v>
      </c>
      <c r="E70" s="3">
        <v>45</v>
      </c>
      <c r="F70" s="3">
        <v>11.182849079454289</v>
      </c>
      <c r="G70" s="3">
        <v>-6.1796516572790949E-2</v>
      </c>
      <c r="H70">
        <f t="shared" si="1"/>
        <v>71886.882016894277</v>
      </c>
      <c r="I70">
        <f t="shared" si="2"/>
        <v>6.374586804916138</v>
      </c>
    </row>
    <row r="71" spans="1:9">
      <c r="A71" s="91">
        <v>70818</v>
      </c>
      <c r="B71" s="82">
        <v>78524</v>
      </c>
      <c r="C71" s="94">
        <f t="shared" si="3"/>
        <v>11.271159589527924</v>
      </c>
      <c r="E71" s="3">
        <v>46</v>
      </c>
      <c r="F71" s="3">
        <v>11.082795454281518</v>
      </c>
      <c r="G71" s="3">
        <v>0.11440505307893289</v>
      </c>
      <c r="H71">
        <f t="shared" si="1"/>
        <v>65042.452708536679</v>
      </c>
      <c r="I71">
        <f t="shared" si="2"/>
        <v>10.810338276421744</v>
      </c>
    </row>
    <row r="72" spans="1:9">
      <c r="A72" s="91">
        <v>79125</v>
      </c>
      <c r="B72" s="82">
        <v>73868</v>
      </c>
      <c r="C72" s="94">
        <f t="shared" si="3"/>
        <v>11.210034995565763</v>
      </c>
      <c r="E72" s="3">
        <v>47</v>
      </c>
      <c r="F72" s="3">
        <v>11.027684485445475</v>
      </c>
      <c r="G72" s="3">
        <v>-0.32132129007488963</v>
      </c>
      <c r="H72">
        <f t="shared" si="1"/>
        <v>61554.884422209718</v>
      </c>
      <c r="I72">
        <f t="shared" si="2"/>
        <v>37.894855221240881</v>
      </c>
    </row>
    <row r="73" spans="1:9">
      <c r="A73" s="91">
        <v>119041</v>
      </c>
      <c r="B73" s="82">
        <v>121907</v>
      </c>
      <c r="C73" s="94">
        <f t="shared" si="3"/>
        <v>11.71101373793879</v>
      </c>
      <c r="E73" s="3">
        <v>48</v>
      </c>
      <c r="F73" s="3">
        <v>10.798246238332805</v>
      </c>
      <c r="G73" s="3">
        <v>-0.1870185029338316</v>
      </c>
      <c r="H73">
        <f t="shared" si="1"/>
        <v>48934.905676551534</v>
      </c>
      <c r="I73">
        <f t="shared" si="2"/>
        <v>20.564959289818503</v>
      </c>
    </row>
    <row r="74" spans="1:9">
      <c r="A74" s="91">
        <v>85129</v>
      </c>
      <c r="B74" s="82">
        <v>67561</v>
      </c>
      <c r="C74" s="94">
        <f t="shared" si="3"/>
        <v>11.120786172469979</v>
      </c>
      <c r="E74" s="3">
        <v>49</v>
      </c>
      <c r="F74" s="3">
        <v>10.887897930960325</v>
      </c>
      <c r="G74" s="3">
        <v>-8.5021684625397498E-2</v>
      </c>
      <c r="H74">
        <f t="shared" si="1"/>
        <v>53524.669082841101</v>
      </c>
      <c r="I74">
        <f t="shared" si="2"/>
        <v>8.8740675376125893</v>
      </c>
    </row>
    <row r="75" spans="1:9">
      <c r="A75" s="91">
        <v>78123</v>
      </c>
      <c r="B75" s="82">
        <v>59743</v>
      </c>
      <c r="C75" s="94">
        <f t="shared" si="3"/>
        <v>10.997807308118881</v>
      </c>
      <c r="E75" s="3">
        <v>50</v>
      </c>
      <c r="F75" s="3">
        <v>11.35576295645301</v>
      </c>
      <c r="G75" s="3">
        <v>-0.14110876548883056</v>
      </c>
      <c r="H75">
        <f t="shared" si="1"/>
        <v>85456.517341376195</v>
      </c>
      <c r="I75">
        <f t="shared" si="2"/>
        <v>15.154989006031794</v>
      </c>
    </row>
    <row r="76" spans="1:9">
      <c r="A76" s="91">
        <v>135821</v>
      </c>
      <c r="B76" s="82">
        <v>90296</v>
      </c>
      <c r="C76" s="94">
        <f t="shared" si="3"/>
        <v>11.410848441635462</v>
      </c>
      <c r="E76" s="3">
        <v>51</v>
      </c>
      <c r="F76" s="3">
        <v>11.21637355604595</v>
      </c>
      <c r="G76" s="3">
        <v>0.17837629621960893</v>
      </c>
      <c r="H76">
        <f t="shared" si="1"/>
        <v>74337.703836016401</v>
      </c>
      <c r="I76">
        <f t="shared" si="2"/>
        <v>16.337245553361242</v>
      </c>
    </row>
    <row r="77" spans="1:9">
      <c r="A77" s="91">
        <v>112512</v>
      </c>
      <c r="B77" s="82">
        <v>124744</v>
      </c>
      <c r="C77" s="94">
        <f t="shared" si="3"/>
        <v>11.734018916264722</v>
      </c>
      <c r="E77" s="3">
        <v>52</v>
      </c>
      <c r="F77" s="3">
        <v>11.175577655524567</v>
      </c>
      <c r="G77" s="3">
        <v>-0.25486865253584234</v>
      </c>
      <c r="H77">
        <f t="shared" si="1"/>
        <v>71366.057884113441</v>
      </c>
      <c r="I77">
        <f t="shared" si="2"/>
        <v>29.029213314253195</v>
      </c>
    </row>
    <row r="78" spans="1:9">
      <c r="A78" s="91">
        <v>90766</v>
      </c>
      <c r="B78" s="82">
        <v>70946</v>
      </c>
      <c r="C78" s="94">
        <f t="shared" si="3"/>
        <v>11.169674303268108</v>
      </c>
      <c r="E78" s="3">
        <v>53</v>
      </c>
      <c r="F78" s="3">
        <v>10.958731528887787</v>
      </c>
      <c r="G78" s="3">
        <v>5.9864826844913566E-2</v>
      </c>
      <c r="H78">
        <f t="shared" si="1"/>
        <v>57453.518668095756</v>
      </c>
      <c r="I78">
        <f t="shared" si="2"/>
        <v>5.810815652815247</v>
      </c>
    </row>
    <row r="79" spans="1:9">
      <c r="A79" s="91">
        <v>57057</v>
      </c>
      <c r="B79" s="82">
        <v>41840</v>
      </c>
      <c r="C79" s="94">
        <f t="shared" si="3"/>
        <v>10.641608098738805</v>
      </c>
      <c r="E79" s="3">
        <v>54</v>
      </c>
      <c r="F79" s="3">
        <v>10.95775032469486</v>
      </c>
      <c r="G79" s="3">
        <v>-4.61316253988997E-3</v>
      </c>
      <c r="H79">
        <f t="shared" si="1"/>
        <v>57397.172682659446</v>
      </c>
      <c r="I79">
        <f t="shared" si="2"/>
        <v>0.46238195554136113</v>
      </c>
    </row>
    <row r="80" spans="1:9">
      <c r="A80" s="91">
        <v>72932</v>
      </c>
      <c r="B80" s="82">
        <v>60844</v>
      </c>
      <c r="C80" s="94">
        <f t="shared" si="3"/>
        <v>11.016068490431634</v>
      </c>
      <c r="E80" s="3">
        <v>55</v>
      </c>
      <c r="F80" s="3">
        <v>11.347609616849882</v>
      </c>
      <c r="G80" s="3">
        <v>0.40329283799245985</v>
      </c>
      <c r="H80">
        <f t="shared" si="1"/>
        <v>84762.594074372624</v>
      </c>
      <c r="I80">
        <f t="shared" si="2"/>
        <v>33.188357919749166</v>
      </c>
    </row>
    <row r="81" spans="1:9">
      <c r="A81" s="91">
        <v>106794</v>
      </c>
      <c r="B81" s="82">
        <v>188561</v>
      </c>
      <c r="C81" s="94">
        <f t="shared" si="3"/>
        <v>12.147176840947669</v>
      </c>
      <c r="E81" s="3">
        <v>56</v>
      </c>
      <c r="F81" s="3">
        <v>10.995620134140909</v>
      </c>
      <c r="G81" s="3">
        <v>-0.21327376373949036</v>
      </c>
      <c r="H81">
        <f t="shared" si="1"/>
        <v>59612.47445810162</v>
      </c>
      <c r="I81">
        <f t="shared" si="2"/>
        <v>23.772344866602204</v>
      </c>
    </row>
    <row r="82" spans="1:9">
      <c r="A82" s="91">
        <v>134791</v>
      </c>
      <c r="B82" s="82">
        <v>163879</v>
      </c>
      <c r="C82" s="94">
        <f t="shared" si="3"/>
        <v>12.006883629616317</v>
      </c>
      <c r="E82" s="3">
        <v>57</v>
      </c>
      <c r="F82" s="3">
        <v>11.319505125323913</v>
      </c>
      <c r="G82" s="3">
        <v>-8.4126600547280717E-2</v>
      </c>
      <c r="H82">
        <f t="shared" si="1"/>
        <v>82413.548450447153</v>
      </c>
      <c r="I82">
        <f t="shared" si="2"/>
        <v>8.7766596938482042</v>
      </c>
    </row>
    <row r="83" spans="1:9">
      <c r="A83" s="91">
        <v>84096</v>
      </c>
      <c r="B83" s="82">
        <v>66006</v>
      </c>
      <c r="C83" s="94">
        <f t="shared" si="3"/>
        <v>11.097500925967491</v>
      </c>
      <c r="E83" s="3">
        <v>58</v>
      </c>
      <c r="F83" s="3">
        <v>10.994294340380229</v>
      </c>
      <c r="G83" s="3">
        <v>0.12619575949058692</v>
      </c>
      <c r="H83">
        <f t="shared" si="1"/>
        <v>59533.49297955112</v>
      </c>
      <c r="I83">
        <f t="shared" si="2"/>
        <v>11.855772079846139</v>
      </c>
    </row>
    <row r="84" spans="1:9">
      <c r="A84" s="91">
        <v>307068</v>
      </c>
      <c r="B84" s="82">
        <v>162572</v>
      </c>
      <c r="C84" s="94">
        <f t="shared" si="3"/>
        <v>11.998876259545412</v>
      </c>
      <c r="E84" s="3">
        <v>59</v>
      </c>
      <c r="F84" s="3">
        <v>11.031177105132201</v>
      </c>
      <c r="G84" s="3">
        <v>0.14789668653939536</v>
      </c>
      <c r="H84">
        <f t="shared" si="1"/>
        <v>61770.248096136405</v>
      </c>
      <c r="I84">
        <f t="shared" si="2"/>
        <v>13.747977971212572</v>
      </c>
    </row>
    <row r="85" spans="1:9">
      <c r="A85" s="91">
        <v>174153</v>
      </c>
      <c r="B85" s="82">
        <v>110473</v>
      </c>
      <c r="C85" s="94">
        <f t="shared" si="3"/>
        <v>11.61252642619171</v>
      </c>
      <c r="E85" s="3">
        <v>60</v>
      </c>
      <c r="F85" s="3">
        <v>11.276565760881077</v>
      </c>
      <c r="G85" s="3">
        <v>-0.23393196663654869</v>
      </c>
      <c r="H85">
        <f t="shared" si="1"/>
        <v>78949.663768241924</v>
      </c>
      <c r="I85">
        <f t="shared" si="2"/>
        <v>26.355852514711316</v>
      </c>
    </row>
    <row r="86" spans="1:9" ht="17" thickBot="1">
      <c r="A86" s="92">
        <v>94248</v>
      </c>
      <c r="B86" s="83">
        <v>56942</v>
      </c>
      <c r="C86" s="95">
        <f t="shared" si="3"/>
        <v>10.949788484907829</v>
      </c>
      <c r="E86" s="3">
        <v>61</v>
      </c>
      <c r="F86" s="3">
        <v>11.092000084091353</v>
      </c>
      <c r="G86" s="3">
        <v>-1.8277499214148563E-2</v>
      </c>
      <c r="H86">
        <f t="shared" si="1"/>
        <v>65643.908248909313</v>
      </c>
      <c r="I86">
        <f t="shared" si="2"/>
        <v>1.8445555021477194</v>
      </c>
    </row>
    <row r="87" spans="1:9">
      <c r="E87" s="3">
        <v>62</v>
      </c>
      <c r="F87" s="3">
        <v>11.161905042336226</v>
      </c>
      <c r="G87" s="3">
        <v>-5.593695194505699E-5</v>
      </c>
      <c r="H87">
        <f t="shared" si="1"/>
        <v>70396.937679988143</v>
      </c>
      <c r="I87">
        <f t="shared" si="2"/>
        <v>5.5938516445426644E-3</v>
      </c>
    </row>
    <row r="88" spans="1:9">
      <c r="E88" s="3">
        <v>63</v>
      </c>
      <c r="F88" s="3">
        <v>11.036585409195593</v>
      </c>
      <c r="G88" s="3">
        <v>-5.7651846023194508E-2</v>
      </c>
      <c r="H88">
        <f t="shared" si="1"/>
        <v>62105.225392949382</v>
      </c>
      <c r="I88">
        <f t="shared" si="2"/>
        <v>5.9346115937457471</v>
      </c>
    </row>
    <row r="89" spans="1:9">
      <c r="E89" s="3">
        <v>64</v>
      </c>
      <c r="F89" s="3">
        <v>11.435900472709831</v>
      </c>
      <c r="G89" s="3">
        <v>0.34215466024166652</v>
      </c>
      <c r="H89">
        <f t="shared" si="1"/>
        <v>92586.671381533335</v>
      </c>
      <c r="I89">
        <f t="shared" si="2"/>
        <v>28.976164942057892</v>
      </c>
    </row>
    <row r="90" spans="1:9">
      <c r="E90" s="3">
        <v>65</v>
      </c>
      <c r="F90" s="3">
        <v>11.580657293672246</v>
      </c>
      <c r="G90" s="3">
        <v>-0.30245466189000325</v>
      </c>
      <c r="H90">
        <f t="shared" si="1"/>
        <v>107007.83057093569</v>
      </c>
      <c r="I90">
        <f t="shared" si="2"/>
        <v>35.317632457334682</v>
      </c>
    </row>
    <row r="91" spans="1:9">
      <c r="E91" s="3">
        <v>66</v>
      </c>
      <c r="F91" s="3">
        <v>11.003715068732554</v>
      </c>
      <c r="G91" s="3">
        <v>5.2776287288551771E-3</v>
      </c>
      <c r="H91">
        <f t="shared" ref="H91:H110" si="4">EXP(F91)</f>
        <v>60096.991962655658</v>
      </c>
      <c r="I91">
        <f t="shared" ref="I91:I110" si="5">ABS((H91-B67)/B67)*100</f>
        <v>0.52637265140170741</v>
      </c>
    </row>
    <row r="92" spans="1:9">
      <c r="E92" s="3">
        <v>67</v>
      </c>
      <c r="F92" s="3">
        <v>11.179070275211293</v>
      </c>
      <c r="G92" s="3">
        <v>-0.22505834481411036</v>
      </c>
      <c r="H92">
        <f t="shared" si="4"/>
        <v>71615.748165621655</v>
      </c>
      <c r="I92">
        <f t="shared" si="5"/>
        <v>25.239578485951515</v>
      </c>
    </row>
    <row r="93" spans="1:9">
      <c r="E93" s="3">
        <v>68</v>
      </c>
      <c r="F93" s="3">
        <v>11.088647636432189</v>
      </c>
      <c r="G93" s="3">
        <v>-0.17050928240882435</v>
      </c>
      <c r="H93">
        <f t="shared" si="4"/>
        <v>65424.208953321388</v>
      </c>
      <c r="I93">
        <f t="shared" si="5"/>
        <v>18.590865997174788</v>
      </c>
    </row>
    <row r="94" spans="1:9">
      <c r="E94" s="3">
        <v>69</v>
      </c>
      <c r="F94" s="3">
        <v>11.098459678361454</v>
      </c>
      <c r="G94" s="3">
        <v>-2.0850466468905537E-2</v>
      </c>
      <c r="H94">
        <f t="shared" si="4"/>
        <v>66069.313756774034</v>
      </c>
      <c r="I94">
        <f t="shared" si="5"/>
        <v>2.1069356114951225</v>
      </c>
    </row>
    <row r="95" spans="1:9">
      <c r="E95" s="3">
        <v>70</v>
      </c>
      <c r="F95" s="3">
        <v>11.066920972160242</v>
      </c>
      <c r="G95" s="3">
        <v>0.20423861736768245</v>
      </c>
      <c r="H95">
        <f t="shared" si="4"/>
        <v>64018.089584406385</v>
      </c>
      <c r="I95">
        <f t="shared" si="5"/>
        <v>18.473218908351097</v>
      </c>
    </row>
    <row r="96" spans="1:9">
      <c r="E96" s="3">
        <v>71</v>
      </c>
      <c r="F96" s="3">
        <v>11.115438015199773</v>
      </c>
      <c r="G96" s="3">
        <v>9.4596980365990291E-2</v>
      </c>
      <c r="H96">
        <f t="shared" si="4"/>
        <v>67200.637642894566</v>
      </c>
      <c r="I96">
        <f t="shared" si="5"/>
        <v>9.0260496522248257</v>
      </c>
    </row>
    <row r="97" spans="5:9">
      <c r="E97" s="3">
        <v>72</v>
      </c>
      <c r="F97" s="3">
        <v>11.348567459038215</v>
      </c>
      <c r="G97" s="3">
        <v>0.36244627890057579</v>
      </c>
      <c r="H97">
        <f t="shared" si="4"/>
        <v>84843.82215860227</v>
      </c>
      <c r="I97">
        <f t="shared" si="5"/>
        <v>30.402829896066454</v>
      </c>
    </row>
    <row r="98" spans="5:9">
      <c r="E98" s="3">
        <v>73</v>
      </c>
      <c r="F98" s="3">
        <v>11.150504384094603</v>
      </c>
      <c r="G98" s="3">
        <v>-2.9718211624624402E-2</v>
      </c>
      <c r="H98">
        <f t="shared" si="4"/>
        <v>69598.923837257564</v>
      </c>
      <c r="I98">
        <f t="shared" si="5"/>
        <v>3.0164204752113846</v>
      </c>
    </row>
    <row r="99" spans="5:9">
      <c r="E99" s="3">
        <v>74</v>
      </c>
      <c r="F99" s="3">
        <v>11.109585833049104</v>
      </c>
      <c r="G99" s="3">
        <v>-0.111778524930223</v>
      </c>
      <c r="H99">
        <f t="shared" si="4"/>
        <v>66808.515774184081</v>
      </c>
      <c r="I99">
        <f t="shared" si="5"/>
        <v>11.826516536136587</v>
      </c>
    </row>
    <row r="100" spans="5:9">
      <c r="E100" s="3">
        <v>75</v>
      </c>
      <c r="F100" s="3">
        <v>11.446571068307907</v>
      </c>
      <c r="G100" s="3">
        <v>-3.5722626672445301E-2</v>
      </c>
      <c r="H100">
        <f t="shared" si="4"/>
        <v>93579.916141848546</v>
      </c>
      <c r="I100">
        <f t="shared" si="5"/>
        <v>3.6368345683624361</v>
      </c>
    </row>
    <row r="101" spans="5:9">
      <c r="E101" s="3">
        <v>76</v>
      </c>
      <c r="F101" s="3">
        <v>11.31043482704049</v>
      </c>
      <c r="G101" s="3">
        <v>0.42358408922423152</v>
      </c>
      <c r="H101">
        <f t="shared" si="4"/>
        <v>81669.412851013345</v>
      </c>
      <c r="I101">
        <f t="shared" si="5"/>
        <v>34.530387953718538</v>
      </c>
    </row>
    <row r="102" spans="5:9">
      <c r="E102" s="3">
        <v>77</v>
      </c>
      <c r="F102" s="3">
        <v>11.183427289067978</v>
      </c>
      <c r="G102" s="3">
        <v>-1.3752985799870387E-2</v>
      </c>
      <c r="H102">
        <f t="shared" si="4"/>
        <v>71928.459722330706</v>
      </c>
      <c r="I102">
        <f t="shared" si="5"/>
        <v>1.3847993154380889</v>
      </c>
    </row>
    <row r="103" spans="5:9">
      <c r="E103" s="3">
        <v>78</v>
      </c>
      <c r="F103" s="3">
        <v>10.986549835857486</v>
      </c>
      <c r="G103" s="3">
        <v>-0.34494173711868115</v>
      </c>
      <c r="H103">
        <f t="shared" si="4"/>
        <v>59074.216304573813</v>
      </c>
      <c r="I103">
        <f t="shared" si="5"/>
        <v>41.190765546304526</v>
      </c>
    </row>
    <row r="104" spans="5:9">
      <c r="E104" s="3">
        <v>79</v>
      </c>
      <c r="F104" s="3">
        <v>11.079267791587901</v>
      </c>
      <c r="G104" s="3">
        <v>-6.319930115626704E-2</v>
      </c>
      <c r="H104">
        <f t="shared" si="4"/>
        <v>64813.409106426472</v>
      </c>
      <c r="I104">
        <f t="shared" si="5"/>
        <v>6.523912146516456</v>
      </c>
    </row>
    <row r="105" spans="5:9">
      <c r="E105" s="3">
        <v>80</v>
      </c>
      <c r="F105" s="3">
        <v>11.277038841474095</v>
      </c>
      <c r="G105" s="3">
        <v>0.87013799947357384</v>
      </c>
      <c r="H105">
        <f t="shared" si="4"/>
        <v>78987.022158063832</v>
      </c>
      <c r="I105">
        <f t="shared" si="5"/>
        <v>58.11062618565672</v>
      </c>
    </row>
    <row r="106" spans="5:9">
      <c r="E106" s="3">
        <v>81</v>
      </c>
      <c r="F106" s="3">
        <v>11.440555352125084</v>
      </c>
      <c r="G106" s="3">
        <v>0.56632827749123216</v>
      </c>
      <c r="H106">
        <f t="shared" si="4"/>
        <v>93018.655809969845</v>
      </c>
      <c r="I106">
        <f t="shared" si="5"/>
        <v>43.239429206933259</v>
      </c>
    </row>
    <row r="107" spans="5:9">
      <c r="E107" s="3">
        <v>82</v>
      </c>
      <c r="F107" s="3">
        <v>11.144471146408334</v>
      </c>
      <c r="G107" s="3">
        <v>-4.6970220440842425E-2</v>
      </c>
      <c r="H107">
        <f t="shared" si="4"/>
        <v>69180.28114236136</v>
      </c>
      <c r="I107">
        <f t="shared" si="5"/>
        <v>4.8090796933026692</v>
      </c>
    </row>
    <row r="108" spans="5:9">
      <c r="E108" s="3">
        <v>83</v>
      </c>
      <c r="F108" s="3">
        <v>12.446739368463275</v>
      </c>
      <c r="G108" s="3">
        <v>-0.44786310891786307</v>
      </c>
      <c r="H108">
        <f t="shared" si="4"/>
        <v>254419.4007787825</v>
      </c>
      <c r="I108">
        <f t="shared" si="5"/>
        <v>56.496445131254148</v>
      </c>
    </row>
    <row r="109" spans="5:9">
      <c r="E109" s="3">
        <v>84</v>
      </c>
      <c r="F109" s="3">
        <v>11.670449158327328</v>
      </c>
      <c r="G109" s="3">
        <v>-5.7922732135617494E-2</v>
      </c>
      <c r="H109">
        <f t="shared" si="4"/>
        <v>117060.84932981763</v>
      </c>
      <c r="I109">
        <f t="shared" si="5"/>
        <v>5.9633116959054542</v>
      </c>
    </row>
    <row r="110" spans="5:9" ht="17" thickBot="1">
      <c r="E110" s="4">
        <v>85</v>
      </c>
      <c r="F110" s="4">
        <v>11.203763914066613</v>
      </c>
      <c r="G110" s="4">
        <v>-0.25397542915878368</v>
      </c>
      <c r="H110">
        <f t="shared" si="4"/>
        <v>73406.217203951252</v>
      </c>
      <c r="I110">
        <f t="shared" si="5"/>
        <v>28.914012862125059</v>
      </c>
    </row>
    <row r="111" spans="5:9" ht="17" thickBot="1">
      <c r="G111" s="259" t="s">
        <v>34</v>
      </c>
      <c r="H111" s="260"/>
      <c r="I111" s="130">
        <f>AVERAGE(I26:I110)</f>
        <v>17.227491910426366</v>
      </c>
    </row>
  </sheetData>
  <mergeCells count="4">
    <mergeCell ref="H21:H22"/>
    <mergeCell ref="I21:K22"/>
    <mergeCell ref="K13:M15"/>
    <mergeCell ref="G111:H1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E51C-0E07-334D-9A7A-94869B0688D3}">
  <dimension ref="A1:M111"/>
  <sheetViews>
    <sheetView zoomScale="173" workbookViewId="0">
      <selection activeCell="I111" sqref="I111"/>
    </sheetView>
  </sheetViews>
  <sheetFormatPr baseColWidth="10" defaultRowHeight="16"/>
  <cols>
    <col min="5" max="5" width="24.83203125" bestFit="1" customWidth="1"/>
    <col min="6" max="6" width="19.83203125" bestFit="1" customWidth="1"/>
    <col min="7" max="7" width="21.5" bestFit="1" customWidth="1"/>
    <col min="8" max="8" width="14.5" bestFit="1" customWidth="1"/>
    <col min="9" max="9" width="20.33203125" bestFit="1" customWidth="1"/>
    <col min="10" max="10" width="14" bestFit="1" customWidth="1"/>
    <col min="11" max="11" width="12.6640625" bestFit="1" customWidth="1"/>
    <col min="12" max="13" width="14.1640625" bestFit="1" customWidth="1"/>
  </cols>
  <sheetData>
    <row r="1" spans="1:13" ht="17" thickBot="1">
      <c r="A1" s="61" t="s">
        <v>136</v>
      </c>
      <c r="B1" s="62" t="s">
        <v>135</v>
      </c>
      <c r="C1" s="62" t="s">
        <v>141</v>
      </c>
    </row>
    <row r="2" spans="1:13">
      <c r="A2" s="90">
        <v>77149</v>
      </c>
      <c r="B2" s="74">
        <v>55280</v>
      </c>
      <c r="C2" s="100">
        <f>LN(B2)</f>
        <v>10.920166458441551</v>
      </c>
      <c r="E2" t="s">
        <v>0</v>
      </c>
    </row>
    <row r="3" spans="1:13" ht="17" thickBot="1">
      <c r="A3" s="98">
        <v>90442</v>
      </c>
      <c r="B3" s="75">
        <v>87040</v>
      </c>
      <c r="C3" s="101">
        <f t="shared" ref="C3:C66" si="0">LN(B3)</f>
        <v>11.374123062089769</v>
      </c>
    </row>
    <row r="4" spans="1:13">
      <c r="A4" s="98">
        <v>107047</v>
      </c>
      <c r="B4" s="75">
        <v>86404</v>
      </c>
      <c r="C4" s="101">
        <f t="shared" si="0"/>
        <v>11.366789250016803</v>
      </c>
      <c r="E4" s="6" t="s">
        <v>1</v>
      </c>
      <c r="F4" s="6"/>
    </row>
    <row r="5" spans="1:13">
      <c r="A5" s="98">
        <v>59369</v>
      </c>
      <c r="B5" s="75">
        <v>62551</v>
      </c>
      <c r="C5" s="101">
        <f t="shared" si="0"/>
        <v>11.043737502977494</v>
      </c>
      <c r="E5" s="3" t="s">
        <v>2</v>
      </c>
      <c r="F5" s="3">
        <v>0.66750738272448729</v>
      </c>
    </row>
    <row r="6" spans="1:13">
      <c r="A6" s="98">
        <v>83556</v>
      </c>
      <c r="B6" s="75">
        <v>65822</v>
      </c>
      <c r="C6" s="101">
        <f t="shared" si="0"/>
        <v>11.09470940793663</v>
      </c>
      <c r="E6" s="103" t="s">
        <v>3</v>
      </c>
      <c r="F6" s="103">
        <v>0.44556610599169511</v>
      </c>
      <c r="G6" s="104">
        <f>F6</f>
        <v>0.44556610599169511</v>
      </c>
    </row>
    <row r="7" spans="1:13">
      <c r="A7" s="98">
        <v>70346</v>
      </c>
      <c r="B7" s="75">
        <v>58487</v>
      </c>
      <c r="C7" s="101">
        <f t="shared" si="0"/>
        <v>10.976559786302708</v>
      </c>
      <c r="E7" s="3" t="s">
        <v>4</v>
      </c>
      <c r="F7" s="3">
        <v>0.43888617955786013</v>
      </c>
    </row>
    <row r="8" spans="1:13">
      <c r="A8" s="98">
        <v>78606</v>
      </c>
      <c r="B8" s="75">
        <v>64721</v>
      </c>
      <c r="C8" s="101">
        <f t="shared" si="0"/>
        <v>11.077841002787295</v>
      </c>
      <c r="E8" s="3" t="s">
        <v>5</v>
      </c>
      <c r="F8" s="3">
        <v>0.23983782261339825</v>
      </c>
    </row>
    <row r="9" spans="1:13" ht="17" thickBot="1">
      <c r="A9" s="98">
        <v>87372</v>
      </c>
      <c r="B9" s="75">
        <v>61254</v>
      </c>
      <c r="C9" s="101">
        <f t="shared" si="0"/>
        <v>11.022784432397071</v>
      </c>
      <c r="E9" s="4" t="s">
        <v>6</v>
      </c>
      <c r="F9" s="4">
        <v>85</v>
      </c>
    </row>
    <row r="10" spans="1:13">
      <c r="A10" s="98">
        <v>85908</v>
      </c>
      <c r="B10" s="75">
        <v>71493</v>
      </c>
      <c r="C10" s="101">
        <f t="shared" si="0"/>
        <v>11.177354821791473</v>
      </c>
    </row>
    <row r="11" spans="1:13" ht="17" thickBot="1">
      <c r="A11" s="98">
        <v>76797</v>
      </c>
      <c r="B11" s="75">
        <v>63353</v>
      </c>
      <c r="C11" s="101">
        <f t="shared" si="0"/>
        <v>11.056477540586986</v>
      </c>
      <c r="E11" t="s">
        <v>7</v>
      </c>
    </row>
    <row r="12" spans="1:13">
      <c r="A12" s="98">
        <v>87015</v>
      </c>
      <c r="B12" s="75">
        <v>78795</v>
      </c>
      <c r="C12" s="101">
        <f t="shared" si="0"/>
        <v>11.274604822056171</v>
      </c>
      <c r="E12" s="5"/>
      <c r="F12" s="5" t="s">
        <v>12</v>
      </c>
      <c r="G12" s="5" t="s">
        <v>13</v>
      </c>
      <c r="H12" s="5" t="s">
        <v>14</v>
      </c>
      <c r="I12" s="5" t="s">
        <v>15</v>
      </c>
      <c r="J12" s="5" t="s">
        <v>16</v>
      </c>
    </row>
    <row r="13" spans="1:13">
      <c r="A13" s="98">
        <v>83105</v>
      </c>
      <c r="B13" s="75">
        <v>85190</v>
      </c>
      <c r="C13" s="101">
        <f t="shared" si="0"/>
        <v>11.352639335036887</v>
      </c>
      <c r="E13" s="3" t="s">
        <v>8</v>
      </c>
      <c r="F13" s="3">
        <v>1</v>
      </c>
      <c r="G13" s="3">
        <v>3.8368587617940078</v>
      </c>
      <c r="H13" s="3">
        <v>3.8368587617940078</v>
      </c>
      <c r="I13" s="3">
        <v>66.702247458119388</v>
      </c>
      <c r="J13" s="120">
        <v>3.0217374958946499E-12</v>
      </c>
      <c r="K13" s="217" t="s">
        <v>147</v>
      </c>
      <c r="L13" s="217"/>
      <c r="M13" s="217"/>
    </row>
    <row r="14" spans="1:13">
      <c r="A14" s="98">
        <v>75584</v>
      </c>
      <c r="B14" s="75">
        <v>49722</v>
      </c>
      <c r="C14" s="101">
        <f t="shared" si="0"/>
        <v>10.814202770077097</v>
      </c>
      <c r="E14" s="3" t="s">
        <v>9</v>
      </c>
      <c r="F14" s="3">
        <v>83</v>
      </c>
      <c r="G14" s="3">
        <v>4.7743410359426788</v>
      </c>
      <c r="H14" s="3">
        <v>5.7522181155935888E-2</v>
      </c>
      <c r="I14" s="3"/>
      <c r="J14" s="3"/>
      <c r="K14" s="217"/>
      <c r="L14" s="217"/>
      <c r="M14" s="217"/>
    </row>
    <row r="15" spans="1:13" ht="17" thickBot="1">
      <c r="A15" s="98">
        <v>79302</v>
      </c>
      <c r="B15" s="75">
        <v>87154</v>
      </c>
      <c r="C15" s="101">
        <f t="shared" si="0"/>
        <v>11.375431947772114</v>
      </c>
      <c r="E15" s="4" t="s">
        <v>10</v>
      </c>
      <c r="F15" s="4">
        <v>84</v>
      </c>
      <c r="G15" s="4">
        <v>8.6111997977366865</v>
      </c>
      <c r="H15" s="4"/>
      <c r="I15" s="4"/>
      <c r="J15" s="4"/>
      <c r="K15" s="217"/>
      <c r="L15" s="217"/>
      <c r="M15" s="217"/>
    </row>
    <row r="16" spans="1:13" ht="17" thickBot="1">
      <c r="A16" s="98">
        <v>72618</v>
      </c>
      <c r="B16" s="75">
        <v>46507</v>
      </c>
      <c r="C16" s="101">
        <f t="shared" si="0"/>
        <v>10.747358117880204</v>
      </c>
    </row>
    <row r="17" spans="1:13">
      <c r="A17" s="98">
        <v>114401</v>
      </c>
      <c r="B17" s="75">
        <v>66608</v>
      </c>
      <c r="C17" s="101">
        <f t="shared" si="0"/>
        <v>11.106579969434756</v>
      </c>
      <c r="E17" s="5"/>
      <c r="F17" s="5" t="s">
        <v>17</v>
      </c>
      <c r="G17" s="5" t="s">
        <v>5</v>
      </c>
      <c r="H17" s="5" t="s">
        <v>18</v>
      </c>
      <c r="I17" s="5" t="s">
        <v>19</v>
      </c>
      <c r="J17" s="5" t="s">
        <v>20</v>
      </c>
      <c r="K17" s="5" t="s">
        <v>21</v>
      </c>
      <c r="L17" s="5" t="s">
        <v>22</v>
      </c>
      <c r="M17" s="5" t="s">
        <v>23</v>
      </c>
    </row>
    <row r="18" spans="1:13">
      <c r="A18" s="98">
        <v>80241</v>
      </c>
      <c r="B18" s="75">
        <v>74197</v>
      </c>
      <c r="C18" s="101">
        <f t="shared" si="0"/>
        <v>11.214478997071259</v>
      </c>
      <c r="E18" s="3" t="s">
        <v>11</v>
      </c>
      <c r="F18" s="3">
        <v>10.653308361834789</v>
      </c>
      <c r="G18" s="3">
        <v>7.0884746314713087E-2</v>
      </c>
      <c r="H18" s="3">
        <v>150.29056201367192</v>
      </c>
      <c r="I18" s="3">
        <v>6.7947302062483457E-103</v>
      </c>
      <c r="J18" s="3">
        <v>10.512321452386905</v>
      </c>
      <c r="K18" s="3">
        <v>10.794295271282673</v>
      </c>
      <c r="L18" s="3">
        <v>10.512321452386905</v>
      </c>
      <c r="M18" s="3">
        <v>10.794295271282673</v>
      </c>
    </row>
    <row r="19" spans="1:13" ht="17" thickBot="1">
      <c r="A19" s="98">
        <v>125583</v>
      </c>
      <c r="B19" s="75">
        <v>132710</v>
      </c>
      <c r="C19" s="101">
        <f t="shared" si="0"/>
        <v>11.795921575431295</v>
      </c>
      <c r="E19" s="4" t="s">
        <v>136</v>
      </c>
      <c r="F19" s="4">
        <v>5.8405011483726307E-6</v>
      </c>
      <c r="G19" s="4">
        <v>7.151215738016097E-7</v>
      </c>
      <c r="H19" s="4">
        <v>8.1671443882252568</v>
      </c>
      <c r="I19" s="4">
        <v>3.0217374958947048E-12</v>
      </c>
      <c r="J19" s="4">
        <v>4.4181531001456643E-6</v>
      </c>
      <c r="K19" s="4">
        <v>7.2628491965995972E-6</v>
      </c>
      <c r="L19" s="4">
        <v>4.4181531001456643E-6</v>
      </c>
      <c r="M19" s="4">
        <v>7.2628491965995972E-6</v>
      </c>
    </row>
    <row r="20" spans="1:13" ht="17" thickBot="1">
      <c r="A20" s="98">
        <v>67347</v>
      </c>
      <c r="B20" s="75">
        <v>48488</v>
      </c>
      <c r="C20" s="101">
        <f t="shared" si="0"/>
        <v>10.789071623631122</v>
      </c>
    </row>
    <row r="21" spans="1:13">
      <c r="A21" s="98">
        <v>83731</v>
      </c>
      <c r="B21" s="75">
        <v>78202</v>
      </c>
      <c r="C21" s="101">
        <f t="shared" si="0"/>
        <v>11.267050501653927</v>
      </c>
      <c r="H21" s="261" t="s">
        <v>143</v>
      </c>
      <c r="I21" s="263"/>
      <c r="J21" s="264"/>
      <c r="K21" s="265"/>
    </row>
    <row r="22" spans="1:13" ht="17" thickBot="1">
      <c r="A22" s="98">
        <v>83168</v>
      </c>
      <c r="B22" s="75">
        <v>58255</v>
      </c>
      <c r="C22" s="101">
        <f t="shared" si="0"/>
        <v>10.972585204654042</v>
      </c>
      <c r="H22" s="262"/>
      <c r="I22" s="266"/>
      <c r="J22" s="267"/>
      <c r="K22" s="268"/>
    </row>
    <row r="23" spans="1:13">
      <c r="A23" s="98">
        <v>72253</v>
      </c>
      <c r="B23" s="75">
        <v>56898</v>
      </c>
      <c r="C23" s="101">
        <f t="shared" si="0"/>
        <v>10.949015470111782</v>
      </c>
      <c r="E23" t="s">
        <v>25</v>
      </c>
      <c r="H23" s="109" t="s">
        <v>144</v>
      </c>
      <c r="I23" s="114">
        <f>EXP(F18)</f>
        <v>42332.414077612695</v>
      </c>
    </row>
    <row r="24" spans="1:13" ht="17" thickBot="1">
      <c r="A24" s="98">
        <v>184607</v>
      </c>
      <c r="B24" s="75">
        <v>70410</v>
      </c>
      <c r="C24" s="101">
        <f t="shared" si="0"/>
        <v>11.16209057751318</v>
      </c>
      <c r="H24" s="109" t="s">
        <v>145</v>
      </c>
      <c r="I24" s="116">
        <f>F19</f>
        <v>5.8405011483726307E-6</v>
      </c>
    </row>
    <row r="25" spans="1:13">
      <c r="A25" s="98">
        <v>108297</v>
      </c>
      <c r="B25" s="75">
        <v>95026</v>
      </c>
      <c r="C25" s="101">
        <f t="shared" si="0"/>
        <v>11.461905817348512</v>
      </c>
      <c r="E25" s="5" t="s">
        <v>26</v>
      </c>
      <c r="F25" s="5" t="s">
        <v>142</v>
      </c>
      <c r="G25" s="5" t="s">
        <v>28</v>
      </c>
      <c r="H25" s="123" t="s">
        <v>148</v>
      </c>
      <c r="I25" s="123" t="s">
        <v>150</v>
      </c>
    </row>
    <row r="26" spans="1:13">
      <c r="A26" s="98">
        <v>56306</v>
      </c>
      <c r="B26" s="75">
        <v>63209</v>
      </c>
      <c r="C26" s="101">
        <f t="shared" si="0"/>
        <v>11.054201975059602</v>
      </c>
      <c r="E26" s="3">
        <v>1</v>
      </c>
      <c r="F26" s="3">
        <v>11.103897184930588</v>
      </c>
      <c r="G26" s="3">
        <v>-0.18373072648903666</v>
      </c>
      <c r="H26">
        <f>EXP(F26)</f>
        <v>66429.544575503678</v>
      </c>
      <c r="I26">
        <f>ABS((H26-B2)/B2)*100</f>
        <v>20.169219564948769</v>
      </c>
    </row>
    <row r="27" spans="1:13">
      <c r="A27" s="98">
        <v>70911</v>
      </c>
      <c r="B27" s="75">
        <v>65127</v>
      </c>
      <c r="C27" s="101">
        <f t="shared" si="0"/>
        <v>11.084094488756865</v>
      </c>
      <c r="E27" s="3">
        <v>2</v>
      </c>
      <c r="F27" s="3">
        <v>11.181534966695907</v>
      </c>
      <c r="G27" s="3">
        <v>0.19258809539386235</v>
      </c>
      <c r="H27">
        <f t="shared" ref="H27:H90" si="1">EXP(F27)</f>
        <v>71792.47659134827</v>
      </c>
      <c r="I27">
        <f t="shared" ref="I27:I90" si="2">ABS((H27-B3)/B3)*100</f>
        <v>17.517834798542889</v>
      </c>
    </row>
    <row r="28" spans="1:13">
      <c r="A28" s="98">
        <v>79469</v>
      </c>
      <c r="B28" s="75">
        <v>82026</v>
      </c>
      <c r="C28" s="101">
        <f t="shared" si="0"/>
        <v>11.314791549160047</v>
      </c>
      <c r="E28" s="3">
        <v>3</v>
      </c>
      <c r="F28" s="3">
        <v>11.278516488264634</v>
      </c>
      <c r="G28" s="3">
        <v>8.8272761752168805E-2</v>
      </c>
      <c r="H28">
        <f t="shared" si="1"/>
        <v>79103.823352052263</v>
      </c>
      <c r="I28">
        <f t="shared" si="2"/>
        <v>8.4488873755239773</v>
      </c>
    </row>
    <row r="29" spans="1:13">
      <c r="A29" s="98">
        <v>92815</v>
      </c>
      <c r="B29" s="75">
        <v>67750</v>
      </c>
      <c r="C29" s="101">
        <f t="shared" si="0"/>
        <v>11.123579738741947</v>
      </c>
      <c r="E29" s="3">
        <v>4</v>
      </c>
      <c r="F29" s="3">
        <v>11.000053074512524</v>
      </c>
      <c r="G29" s="3">
        <v>4.3684428464970892E-2</v>
      </c>
      <c r="H29">
        <f t="shared" si="1"/>
        <v>59877.319590413463</v>
      </c>
      <c r="I29">
        <f t="shared" si="2"/>
        <v>4.2744007443310856</v>
      </c>
    </row>
    <row r="30" spans="1:13">
      <c r="A30" s="98">
        <v>130530</v>
      </c>
      <c r="B30" s="75">
        <v>156881</v>
      </c>
      <c r="C30" s="101">
        <f t="shared" si="0"/>
        <v>11.963242835148739</v>
      </c>
      <c r="E30" s="3">
        <v>5</v>
      </c>
      <c r="F30" s="3">
        <v>11.141317275788213</v>
      </c>
      <c r="G30" s="3">
        <v>-4.6607867851582441E-2</v>
      </c>
      <c r="H30">
        <f t="shared" si="1"/>
        <v>68962.439189413344</v>
      </c>
      <c r="I30">
        <f t="shared" si="2"/>
        <v>4.7711087317513048</v>
      </c>
    </row>
    <row r="31" spans="1:13">
      <c r="A31" s="98">
        <v>110587</v>
      </c>
      <c r="B31" s="75">
        <v>99205</v>
      </c>
      <c r="C31" s="101">
        <f t="shared" si="0"/>
        <v>11.504943695228571</v>
      </c>
      <c r="E31" s="3">
        <v>6</v>
      </c>
      <c r="F31" s="3">
        <v>11.064164255618209</v>
      </c>
      <c r="G31" s="3">
        <v>-8.7604469315500921E-2</v>
      </c>
      <c r="H31">
        <f t="shared" si="1"/>
        <v>63841.852886778572</v>
      </c>
      <c r="I31">
        <f t="shared" si="2"/>
        <v>9.1556292625345321</v>
      </c>
    </row>
    <row r="32" spans="1:13">
      <c r="A32" s="98">
        <v>140661</v>
      </c>
      <c r="B32" s="75">
        <v>114277</v>
      </c>
      <c r="C32" s="101">
        <f t="shared" si="0"/>
        <v>11.646380604687572</v>
      </c>
      <c r="E32" s="3">
        <v>7</v>
      </c>
      <c r="F32" s="3">
        <v>11.112406795103768</v>
      </c>
      <c r="G32" s="3">
        <v>-3.456579231647261E-2</v>
      </c>
      <c r="H32">
        <f t="shared" si="1"/>
        <v>66997.246137551294</v>
      </c>
      <c r="I32">
        <f t="shared" si="2"/>
        <v>3.5170132376682899</v>
      </c>
    </row>
    <row r="33" spans="1:9">
      <c r="A33" s="98">
        <v>95039</v>
      </c>
      <c r="B33" s="75">
        <v>135206</v>
      </c>
      <c r="C33" s="101">
        <f t="shared" si="0"/>
        <v>11.814554820304521</v>
      </c>
      <c r="E33" s="3">
        <v>8</v>
      </c>
      <c r="F33" s="3">
        <v>11.163604628170402</v>
      </c>
      <c r="G33" s="3">
        <v>-0.14082019577333149</v>
      </c>
      <c r="H33">
        <f t="shared" si="1"/>
        <v>70516.685049679931</v>
      </c>
      <c r="I33">
        <f t="shared" si="2"/>
        <v>15.121763557775706</v>
      </c>
    </row>
    <row r="34" spans="1:9">
      <c r="A34" s="98">
        <v>105440</v>
      </c>
      <c r="B34" s="75">
        <v>69546</v>
      </c>
      <c r="C34" s="101">
        <f t="shared" si="0"/>
        <v>11.1497436831168</v>
      </c>
      <c r="E34" s="3">
        <v>9</v>
      </c>
      <c r="F34" s="3">
        <v>11.155054134489184</v>
      </c>
      <c r="G34" s="3">
        <v>2.230068730228929E-2</v>
      </c>
      <c r="H34">
        <f t="shared" si="1"/>
        <v>69916.303018992257</v>
      </c>
      <c r="I34">
        <f t="shared" si="2"/>
        <v>2.2053865147745131</v>
      </c>
    </row>
    <row r="35" spans="1:9">
      <c r="A35" s="98">
        <v>80066</v>
      </c>
      <c r="B35" s="75">
        <v>62975</v>
      </c>
      <c r="C35" s="101">
        <f t="shared" si="0"/>
        <v>11.050493101220811</v>
      </c>
      <c r="E35" s="3">
        <v>10</v>
      </c>
      <c r="F35" s="3">
        <v>11.101841328526362</v>
      </c>
      <c r="G35" s="3">
        <v>-4.536378793937601E-2</v>
      </c>
      <c r="H35">
        <f t="shared" si="1"/>
        <v>66293.115258452948</v>
      </c>
      <c r="I35">
        <f t="shared" si="2"/>
        <v>4.6408461453332093</v>
      </c>
    </row>
    <row r="36" spans="1:9">
      <c r="A36" s="98">
        <v>113585</v>
      </c>
      <c r="B36" s="75">
        <v>76770</v>
      </c>
      <c r="C36" s="101">
        <f t="shared" si="0"/>
        <v>11.248569217821943</v>
      </c>
      <c r="E36" s="3">
        <v>11</v>
      </c>
      <c r="F36" s="3">
        <v>11.161519569260433</v>
      </c>
      <c r="G36" s="3">
        <v>0.113085252795738</v>
      </c>
      <c r="H36">
        <f t="shared" si="1"/>
        <v>70369.806785344859</v>
      </c>
      <c r="I36">
        <f t="shared" si="2"/>
        <v>10.692548022914069</v>
      </c>
    </row>
    <row r="37" spans="1:9">
      <c r="A37" s="98">
        <v>92297</v>
      </c>
      <c r="B37" s="75">
        <v>65404</v>
      </c>
      <c r="C37" s="101">
        <f t="shared" si="0"/>
        <v>11.088338697654477</v>
      </c>
      <c r="E37" s="3">
        <v>12</v>
      </c>
      <c r="F37" s="3">
        <v>11.138683209770296</v>
      </c>
      <c r="G37" s="3">
        <v>0.21395612526659136</v>
      </c>
      <c r="H37">
        <f t="shared" si="1"/>
        <v>68781.026603087579</v>
      </c>
      <c r="I37">
        <f t="shared" si="2"/>
        <v>19.261619200507596</v>
      </c>
    </row>
    <row r="38" spans="1:9">
      <c r="A38" s="98">
        <v>74419</v>
      </c>
      <c r="B38" s="75">
        <v>64059</v>
      </c>
      <c r="C38" s="101">
        <f t="shared" si="0"/>
        <v>11.067559812676024</v>
      </c>
      <c r="E38" s="3">
        <v>13</v>
      </c>
      <c r="F38" s="3">
        <v>11.094756800633386</v>
      </c>
      <c r="G38" s="3">
        <v>-0.28055403055628858</v>
      </c>
      <c r="H38">
        <f t="shared" si="1"/>
        <v>65825.119556007296</v>
      </c>
      <c r="I38">
        <f t="shared" si="2"/>
        <v>32.386306978816812</v>
      </c>
    </row>
    <row r="39" spans="1:9">
      <c r="A39" s="98">
        <v>77534</v>
      </c>
      <c r="B39" s="75">
        <v>56134</v>
      </c>
      <c r="C39" s="101">
        <f t="shared" si="0"/>
        <v>10.93549696853629</v>
      </c>
      <c r="E39" s="3">
        <v>14</v>
      </c>
      <c r="F39" s="3">
        <v>11.116471783903036</v>
      </c>
      <c r="G39" s="3">
        <v>0.25896016386907839</v>
      </c>
      <c r="H39">
        <f t="shared" si="1"/>
        <v>67270.143479218255</v>
      </c>
      <c r="I39">
        <f t="shared" si="2"/>
        <v>22.814622990088516</v>
      </c>
    </row>
    <row r="40" spans="1:9">
      <c r="A40" s="98">
        <v>76315</v>
      </c>
      <c r="B40" s="75">
        <v>57468</v>
      </c>
      <c r="C40" s="101">
        <f t="shared" si="0"/>
        <v>10.958983550130609</v>
      </c>
      <c r="E40" s="3">
        <v>15</v>
      </c>
      <c r="F40" s="3">
        <v>11.077433874227312</v>
      </c>
      <c r="G40" s="3">
        <v>-0.3300757563471084</v>
      </c>
      <c r="H40">
        <f t="shared" si="1"/>
        <v>64694.655595612981</v>
      </c>
      <c r="I40">
        <f t="shared" si="2"/>
        <v>39.107350711963754</v>
      </c>
    </row>
    <row r="41" spans="1:9">
      <c r="A41" s="98">
        <v>107695</v>
      </c>
      <c r="B41" s="75">
        <v>74845</v>
      </c>
      <c r="C41" s="101">
        <f t="shared" si="0"/>
        <v>11.223174587349336</v>
      </c>
      <c r="E41" s="3">
        <v>16</v>
      </c>
      <c r="F41" s="3">
        <v>11.321467533709766</v>
      </c>
      <c r="G41" s="3">
        <v>-0.21488756427500988</v>
      </c>
      <c r="H41">
        <f t="shared" si="1"/>
        <v>82575.43628210036</v>
      </c>
      <c r="I41">
        <f t="shared" si="2"/>
        <v>23.972250003153313</v>
      </c>
    </row>
    <row r="42" spans="1:9">
      <c r="A42" s="98">
        <v>134478</v>
      </c>
      <c r="B42" s="75">
        <v>88920</v>
      </c>
      <c r="C42" s="101">
        <f t="shared" si="0"/>
        <v>11.395492368078132</v>
      </c>
      <c r="E42" s="3">
        <v>17</v>
      </c>
      <c r="F42" s="3">
        <v>11.121956014481357</v>
      </c>
      <c r="G42" s="3">
        <v>9.2522982589901659E-2</v>
      </c>
      <c r="H42">
        <f t="shared" si="1"/>
        <v>67640.081943802026</v>
      </c>
      <c r="I42">
        <f t="shared" si="2"/>
        <v>8.837174085472423</v>
      </c>
    </row>
    <row r="43" spans="1:9">
      <c r="A43" s="98">
        <v>70545</v>
      </c>
      <c r="B43" s="75">
        <v>54986</v>
      </c>
      <c r="C43" s="101">
        <f t="shared" si="0"/>
        <v>10.91483388635787</v>
      </c>
      <c r="E43" s="3">
        <v>18</v>
      </c>
      <c r="F43" s="3">
        <v>11.386776017550869</v>
      </c>
      <c r="G43" s="3">
        <v>0.40914555788042684</v>
      </c>
      <c r="H43">
        <f t="shared" si="1"/>
        <v>88148.310156443156</v>
      </c>
      <c r="I43">
        <f t="shared" si="2"/>
        <v>33.578245681227372</v>
      </c>
    </row>
    <row r="44" spans="1:9">
      <c r="A44" s="98">
        <v>61750</v>
      </c>
      <c r="B44" s="75">
        <v>56301</v>
      </c>
      <c r="C44" s="101">
        <f t="shared" si="0"/>
        <v>10.938467575959383</v>
      </c>
      <c r="E44" s="3">
        <v>19</v>
      </c>
      <c r="F44" s="3">
        <v>11.04664859267424</v>
      </c>
      <c r="G44" s="3">
        <v>-0.257576969043118</v>
      </c>
      <c r="H44">
        <f t="shared" si="1"/>
        <v>62733.356871444819</v>
      </c>
      <c r="I44">
        <f t="shared" si="2"/>
        <v>29.379138903326226</v>
      </c>
    </row>
    <row r="45" spans="1:9">
      <c r="A45" s="98">
        <v>84262</v>
      </c>
      <c r="B45" s="75">
        <v>63529</v>
      </c>
      <c r="C45" s="101">
        <f t="shared" si="0"/>
        <v>11.0592517735417</v>
      </c>
      <c r="E45" s="3">
        <v>20</v>
      </c>
      <c r="F45" s="3">
        <v>11.142339363489178</v>
      </c>
      <c r="G45" s="3">
        <v>0.12471113816474855</v>
      </c>
      <c r="H45">
        <f t="shared" si="1"/>
        <v>69032.960883876425</v>
      </c>
      <c r="I45">
        <f t="shared" si="2"/>
        <v>11.724814091869229</v>
      </c>
    </row>
    <row r="46" spans="1:9">
      <c r="A46" s="98">
        <v>90667</v>
      </c>
      <c r="B46" s="75">
        <v>67579</v>
      </c>
      <c r="C46" s="101">
        <f t="shared" si="0"/>
        <v>11.121052562881498</v>
      </c>
      <c r="E46" s="3">
        <v>21</v>
      </c>
      <c r="F46" s="3">
        <v>11.139051161342644</v>
      </c>
      <c r="G46" s="3">
        <v>-0.16646595668860265</v>
      </c>
      <c r="H46">
        <f t="shared" si="1"/>
        <v>68806.33934662024</v>
      </c>
      <c r="I46">
        <f t="shared" si="2"/>
        <v>18.112332583675634</v>
      </c>
    </row>
    <row r="47" spans="1:9">
      <c r="A47" s="98">
        <v>73536</v>
      </c>
      <c r="B47" s="75">
        <v>72926</v>
      </c>
      <c r="C47" s="101">
        <f t="shared" si="0"/>
        <v>11.197200507360451</v>
      </c>
      <c r="E47" s="3">
        <v>22</v>
      </c>
      <c r="F47" s="3">
        <v>11.075302091308156</v>
      </c>
      <c r="G47" s="3">
        <v>-0.12628662119637468</v>
      </c>
      <c r="H47">
        <f t="shared" si="1"/>
        <v>64556.887531830078</v>
      </c>
      <c r="I47">
        <f t="shared" si="2"/>
        <v>13.46073241911856</v>
      </c>
    </row>
    <row r="48" spans="1:9">
      <c r="A48" s="98">
        <v>64100</v>
      </c>
      <c r="B48" s="75">
        <v>44639</v>
      </c>
      <c r="C48" s="101">
        <f t="shared" si="0"/>
        <v>10.706363195370585</v>
      </c>
      <c r="E48" s="3">
        <v>23</v>
      </c>
      <c r="F48" s="3">
        <v>11.731505757332416</v>
      </c>
      <c r="G48" s="3">
        <v>-0.56941517981923617</v>
      </c>
      <c r="H48">
        <f t="shared" si="1"/>
        <v>124430.89211188961</v>
      </c>
      <c r="I48">
        <f t="shared" si="2"/>
        <v>76.723323550475229</v>
      </c>
    </row>
    <row r="49" spans="1:9">
      <c r="A49" s="98">
        <v>24816</v>
      </c>
      <c r="B49" s="75">
        <v>40588</v>
      </c>
      <c r="C49" s="101">
        <f t="shared" si="0"/>
        <v>10.611227735398973</v>
      </c>
      <c r="E49" s="3">
        <v>24</v>
      </c>
      <c r="F49" s="3">
        <v>11.2858171147001</v>
      </c>
      <c r="G49" s="3">
        <v>0.17608870264841237</v>
      </c>
      <c r="H49">
        <f t="shared" si="1"/>
        <v>79683.444038577625</v>
      </c>
      <c r="I49">
        <f t="shared" si="2"/>
        <v>16.145640099996186</v>
      </c>
    </row>
    <row r="50" spans="1:9">
      <c r="A50" s="98">
        <v>40166</v>
      </c>
      <c r="B50" s="75">
        <v>49162</v>
      </c>
      <c r="C50" s="101">
        <f t="shared" si="0"/>
        <v>10.802876246334927</v>
      </c>
      <c r="E50" s="3">
        <v>25</v>
      </c>
      <c r="F50" s="3">
        <v>10.982163619495058</v>
      </c>
      <c r="G50" s="3">
        <v>7.2038355564544077E-2</v>
      </c>
      <c r="H50">
        <f t="shared" si="1"/>
        <v>58815.671441784471</v>
      </c>
      <c r="I50">
        <f t="shared" si="2"/>
        <v>6.950479454216218</v>
      </c>
    </row>
    <row r="51" spans="1:9">
      <c r="A51" s="98">
        <v>120273</v>
      </c>
      <c r="B51" s="75">
        <v>74210</v>
      </c>
      <c r="C51" s="101">
        <f t="shared" si="0"/>
        <v>11.214654190964179</v>
      </c>
      <c r="E51" s="3">
        <v>26</v>
      </c>
      <c r="F51" s="3">
        <v>11.06746413876704</v>
      </c>
      <c r="G51" s="3">
        <v>1.6630349989824822E-2</v>
      </c>
      <c r="H51">
        <f t="shared" si="1"/>
        <v>64052.871518236985</v>
      </c>
      <c r="I51">
        <f t="shared" si="2"/>
        <v>1.6492829114852745</v>
      </c>
    </row>
    <row r="52" spans="1:9">
      <c r="A52" s="98">
        <v>96407</v>
      </c>
      <c r="B52" s="75">
        <v>88854</v>
      </c>
      <c r="C52" s="101">
        <f t="shared" si="0"/>
        <v>11.394749852265559</v>
      </c>
      <c r="E52" s="3">
        <v>27</v>
      </c>
      <c r="F52" s="3">
        <v>11.117447147594813</v>
      </c>
      <c r="G52" s="3">
        <v>0.1973444015652337</v>
      </c>
      <c r="H52">
        <f t="shared" si="1"/>
        <v>67335.788343312859</v>
      </c>
      <c r="I52">
        <f t="shared" si="2"/>
        <v>17.909213733068956</v>
      </c>
    </row>
    <row r="53" spans="1:9">
      <c r="A53" s="98">
        <v>89422</v>
      </c>
      <c r="B53" s="75">
        <v>55310</v>
      </c>
      <c r="C53" s="101">
        <f t="shared" si="0"/>
        <v>10.920709002988724</v>
      </c>
      <c r="E53" s="3">
        <v>28</v>
      </c>
      <c r="F53" s="3">
        <v>11.195394475920995</v>
      </c>
      <c r="G53" s="3">
        <v>-7.1814737179048294E-2</v>
      </c>
      <c r="H53">
        <f t="shared" si="1"/>
        <v>72794.412212853829</v>
      </c>
      <c r="I53">
        <f t="shared" si="2"/>
        <v>7.4456268824410765</v>
      </c>
    </row>
    <row r="54" spans="1:9">
      <c r="A54" s="98">
        <v>52294</v>
      </c>
      <c r="B54" s="75">
        <v>60998</v>
      </c>
      <c r="C54" s="101">
        <f t="shared" si="0"/>
        <v>11.018596355732701</v>
      </c>
      <c r="E54" s="3">
        <v>29</v>
      </c>
      <c r="F54" s="3">
        <v>11.415668976731869</v>
      </c>
      <c r="G54" s="3">
        <v>0.5475738584168699</v>
      </c>
      <c r="H54">
        <f t="shared" si="1"/>
        <v>90732.325854183277</v>
      </c>
      <c r="I54">
        <f t="shared" si="2"/>
        <v>42.164872830882466</v>
      </c>
    </row>
    <row r="55" spans="1:9">
      <c r="A55" s="98">
        <v>52126</v>
      </c>
      <c r="B55" s="75">
        <v>57133</v>
      </c>
      <c r="C55" s="101">
        <f t="shared" si="0"/>
        <v>10.95313716215497</v>
      </c>
      <c r="E55" s="3">
        <v>30</v>
      </c>
      <c r="F55" s="3">
        <v>11.299191862329874</v>
      </c>
      <c r="G55" s="3">
        <v>0.20575183289869692</v>
      </c>
      <c r="H55">
        <f t="shared" si="1"/>
        <v>80756.348915107927</v>
      </c>
      <c r="I55">
        <f t="shared" si="2"/>
        <v>18.596493205878811</v>
      </c>
    </row>
    <row r="56" spans="1:9">
      <c r="A56" s="98">
        <v>118877</v>
      </c>
      <c r="B56" s="75">
        <v>126868</v>
      </c>
      <c r="C56" s="101">
        <f t="shared" si="0"/>
        <v>11.750902454842342</v>
      </c>
      <c r="E56" s="3">
        <v>31</v>
      </c>
      <c r="F56" s="3">
        <v>11.474839093866031</v>
      </c>
      <c r="G56" s="3">
        <v>0.17154151082154101</v>
      </c>
      <c r="H56">
        <f t="shared" si="1"/>
        <v>96262.979390226974</v>
      </c>
      <c r="I56">
        <f t="shared" si="2"/>
        <v>15.763469998138756</v>
      </c>
    </row>
    <row r="57" spans="1:9">
      <c r="A57" s="98">
        <v>58610</v>
      </c>
      <c r="B57" s="75">
        <v>48163</v>
      </c>
      <c r="C57" s="101">
        <f t="shared" si="0"/>
        <v>10.782346370401418</v>
      </c>
      <c r="E57" s="3">
        <v>32</v>
      </c>
      <c r="F57" s="3">
        <v>11.208383750474976</v>
      </c>
      <c r="G57" s="3">
        <v>0.60617106982954461</v>
      </c>
      <c r="H57">
        <f t="shared" si="1"/>
        <v>73746.126476853911</v>
      </c>
      <c r="I57">
        <f t="shared" si="2"/>
        <v>45.456469034766272</v>
      </c>
    </row>
    <row r="58" spans="1:9">
      <c r="A58" s="98">
        <v>114065</v>
      </c>
      <c r="B58" s="75">
        <v>75764</v>
      </c>
      <c r="C58" s="101">
        <f t="shared" si="0"/>
        <v>11.235378524776632</v>
      </c>
      <c r="E58" s="3">
        <v>33</v>
      </c>
      <c r="F58" s="3">
        <v>11.269130802919198</v>
      </c>
      <c r="G58" s="3">
        <v>-0.1193871198023988</v>
      </c>
      <c r="H58">
        <f t="shared" si="1"/>
        <v>78364.85305252143</v>
      </c>
      <c r="I58">
        <f t="shared" si="2"/>
        <v>12.680604279931886</v>
      </c>
    </row>
    <row r="59" spans="1:9">
      <c r="A59" s="98">
        <v>58383</v>
      </c>
      <c r="B59" s="75">
        <v>67541</v>
      </c>
      <c r="C59" s="101">
        <f t="shared" si="0"/>
        <v>11.120490099870816</v>
      </c>
      <c r="E59" s="3">
        <v>34</v>
      </c>
      <c r="F59" s="3">
        <v>11.120933926780392</v>
      </c>
      <c r="G59" s="3">
        <v>-7.0440825559581199E-2</v>
      </c>
      <c r="H59">
        <f t="shared" si="1"/>
        <v>67570.98316647562</v>
      </c>
      <c r="I59">
        <f t="shared" si="2"/>
        <v>7.2981074497429468</v>
      </c>
    </row>
    <row r="60" spans="1:9">
      <c r="A60" s="98">
        <v>64698</v>
      </c>
      <c r="B60" s="75">
        <v>71616</v>
      </c>
      <c r="C60" s="101">
        <f t="shared" si="0"/>
        <v>11.179073791671597</v>
      </c>
      <c r="E60" s="3">
        <v>35</v>
      </c>
      <c r="F60" s="3">
        <v>11.316701684772694</v>
      </c>
      <c r="G60" s="3">
        <v>-6.813246695075037E-2</v>
      </c>
      <c r="H60">
        <f t="shared" si="1"/>
        <v>82182.830519858966</v>
      </c>
      <c r="I60">
        <f t="shared" si="2"/>
        <v>7.0507105898905378</v>
      </c>
    </row>
    <row r="61" spans="1:9">
      <c r="A61" s="98">
        <v>106713</v>
      </c>
      <c r="B61" s="75">
        <v>62482</v>
      </c>
      <c r="C61" s="101">
        <f t="shared" si="0"/>
        <v>11.042633794244528</v>
      </c>
      <c r="E61" s="3">
        <v>36</v>
      </c>
      <c r="F61" s="3">
        <v>11.192369096326138</v>
      </c>
      <c r="G61" s="3">
        <v>-0.10403039867166086</v>
      </c>
      <c r="H61">
        <f t="shared" si="1"/>
        <v>72574.51428859758</v>
      </c>
      <c r="I61">
        <f t="shared" si="2"/>
        <v>10.963418580817045</v>
      </c>
    </row>
    <row r="62" spans="1:9">
      <c r="A62" s="98">
        <v>75112</v>
      </c>
      <c r="B62" s="75">
        <v>64455</v>
      </c>
      <c r="C62" s="101">
        <f t="shared" si="0"/>
        <v>11.073722584877205</v>
      </c>
      <c r="E62" s="3">
        <v>37</v>
      </c>
      <c r="F62" s="3">
        <v>11.087952616795532</v>
      </c>
      <c r="G62" s="3">
        <v>-2.0392804119508057E-2</v>
      </c>
      <c r="H62">
        <f t="shared" si="1"/>
        <v>65378.753641383038</v>
      </c>
      <c r="I62">
        <f t="shared" si="2"/>
        <v>2.0602158032174063</v>
      </c>
    </row>
    <row r="63" spans="1:9">
      <c r="A63" s="98">
        <v>87081</v>
      </c>
      <c r="B63" s="75">
        <v>70393</v>
      </c>
      <c r="C63" s="101">
        <f t="shared" si="0"/>
        <v>11.161849105384281</v>
      </c>
      <c r="E63" s="3">
        <v>38</v>
      </c>
      <c r="F63" s="3">
        <v>11.106145777872712</v>
      </c>
      <c r="G63" s="3">
        <v>-0.17064880933642179</v>
      </c>
      <c r="H63">
        <f t="shared" si="1"/>
        <v>66579.085646073814</v>
      </c>
      <c r="I63">
        <f t="shared" si="2"/>
        <v>18.607413770751798</v>
      </c>
    </row>
    <row r="64" spans="1:9">
      <c r="A64" s="98">
        <v>65624</v>
      </c>
      <c r="B64" s="75">
        <v>58626</v>
      </c>
      <c r="C64" s="101">
        <f t="shared" si="0"/>
        <v>10.978933563172399</v>
      </c>
      <c r="E64" s="3">
        <v>39</v>
      </c>
      <c r="F64" s="3">
        <v>11.099026206972846</v>
      </c>
      <c r="G64" s="3">
        <v>-0.14004265684223682</v>
      </c>
      <c r="H64">
        <f t="shared" si="1"/>
        <v>66106.754517982103</v>
      </c>
      <c r="I64">
        <f t="shared" si="2"/>
        <v>15.032286695173145</v>
      </c>
    </row>
    <row r="65" spans="1:9">
      <c r="A65" s="98">
        <v>133994</v>
      </c>
      <c r="B65" s="75">
        <v>130360</v>
      </c>
      <c r="C65" s="101">
        <f t="shared" si="0"/>
        <v>11.778055132951497</v>
      </c>
      <c r="E65" s="3">
        <v>40</v>
      </c>
      <c r="F65" s="3">
        <v>11.282301133008779</v>
      </c>
      <c r="G65" s="3">
        <v>-5.9126545659443863E-2</v>
      </c>
      <c r="H65">
        <f t="shared" si="1"/>
        <v>79403.770459940948</v>
      </c>
      <c r="I65">
        <f t="shared" si="2"/>
        <v>6.0909485736401203</v>
      </c>
    </row>
    <row r="66" spans="1:9">
      <c r="A66" s="98">
        <v>158779</v>
      </c>
      <c r="B66" s="75">
        <v>79079</v>
      </c>
      <c r="C66" s="101">
        <f t="shared" si="0"/>
        <v>11.278202631782243</v>
      </c>
      <c r="E66" s="3">
        <v>41</v>
      </c>
      <c r="F66" s="3">
        <v>11.438727275265643</v>
      </c>
      <c r="G66" s="3">
        <v>-4.3234907187510885E-2</v>
      </c>
      <c r="H66">
        <f t="shared" si="1"/>
        <v>92848.765891014496</v>
      </c>
      <c r="I66">
        <f t="shared" si="2"/>
        <v>4.4183152170653353</v>
      </c>
    </row>
    <row r="67" spans="1:9">
      <c r="A67" s="98">
        <v>59996</v>
      </c>
      <c r="B67" s="75">
        <v>60415</v>
      </c>
      <c r="C67" s="101">
        <f t="shared" ref="C67:C86" si="3">LN(B67)</f>
        <v>11.008992697461409</v>
      </c>
      <c r="E67" s="3">
        <v>42</v>
      </c>
      <c r="F67" s="3">
        <v>11.065326515346737</v>
      </c>
      <c r="G67" s="3">
        <v>-0.15049262898886617</v>
      </c>
      <c r="H67">
        <f t="shared" si="1"/>
        <v>63916.096838403289</v>
      </c>
      <c r="I67">
        <f t="shared" si="2"/>
        <v>16.240673695855833</v>
      </c>
    </row>
    <row r="68" spans="1:9">
      <c r="A68" s="98">
        <v>90020</v>
      </c>
      <c r="B68" s="75">
        <v>57183</v>
      </c>
      <c r="C68" s="101">
        <f t="shared" si="3"/>
        <v>10.954011930397183</v>
      </c>
      <c r="E68" s="3">
        <v>43</v>
      </c>
      <c r="F68" s="3">
        <v>11.013959307746799</v>
      </c>
      <c r="G68" s="3">
        <v>-7.5491731787415972E-2</v>
      </c>
      <c r="H68">
        <f t="shared" si="1"/>
        <v>60715.804130502896</v>
      </c>
      <c r="I68">
        <f t="shared" si="2"/>
        <v>7.8414311122411622</v>
      </c>
    </row>
    <row r="69" spans="1:9">
      <c r="A69" s="98">
        <v>74538</v>
      </c>
      <c r="B69" s="75">
        <v>55168</v>
      </c>
      <c r="C69" s="101">
        <f t="shared" si="3"/>
        <v>10.918138354023364</v>
      </c>
      <c r="E69" s="3">
        <v>44</v>
      </c>
      <c r="F69" s="3">
        <v>11.145440669598964</v>
      </c>
      <c r="G69" s="3">
        <v>-8.6188896057263875E-2</v>
      </c>
      <c r="H69">
        <f t="shared" si="1"/>
        <v>69247.385553648273</v>
      </c>
      <c r="I69">
        <f t="shared" si="2"/>
        <v>9.001220786803307</v>
      </c>
    </row>
    <row r="70" spans="1:9">
      <c r="A70" s="98">
        <v>76218</v>
      </c>
      <c r="B70" s="75">
        <v>64706</v>
      </c>
      <c r="C70" s="101">
        <f t="shared" si="3"/>
        <v>11.077609211892549</v>
      </c>
      <c r="E70" s="3">
        <v>45</v>
      </c>
      <c r="F70" s="3">
        <v>11.182849079454289</v>
      </c>
      <c r="G70" s="3">
        <v>-6.1796516572790949E-2</v>
      </c>
      <c r="H70">
        <f t="shared" si="1"/>
        <v>71886.882016894277</v>
      </c>
      <c r="I70">
        <f t="shared" si="2"/>
        <v>6.374586804916138</v>
      </c>
    </row>
    <row r="71" spans="1:9">
      <c r="A71" s="98">
        <v>70818</v>
      </c>
      <c r="B71" s="75">
        <v>78524</v>
      </c>
      <c r="C71" s="101">
        <f t="shared" si="3"/>
        <v>11.271159589527924</v>
      </c>
      <c r="E71" s="3">
        <v>46</v>
      </c>
      <c r="F71" s="3">
        <v>11.082795454281518</v>
      </c>
      <c r="G71" s="3">
        <v>0.11440505307893289</v>
      </c>
      <c r="H71">
        <f t="shared" si="1"/>
        <v>65042.452708536679</v>
      </c>
      <c r="I71">
        <f t="shared" si="2"/>
        <v>10.810338276421744</v>
      </c>
    </row>
    <row r="72" spans="1:9">
      <c r="A72" s="98">
        <v>79125</v>
      </c>
      <c r="B72" s="75">
        <v>73868</v>
      </c>
      <c r="C72" s="101">
        <f t="shared" si="3"/>
        <v>11.210034995565763</v>
      </c>
      <c r="E72" s="3">
        <v>47</v>
      </c>
      <c r="F72" s="3">
        <v>11.027684485445475</v>
      </c>
      <c r="G72" s="3">
        <v>-0.32132129007488963</v>
      </c>
      <c r="H72">
        <f t="shared" si="1"/>
        <v>61554.884422209718</v>
      </c>
      <c r="I72">
        <f t="shared" si="2"/>
        <v>37.894855221240881</v>
      </c>
    </row>
    <row r="73" spans="1:9">
      <c r="A73" s="98">
        <v>119041</v>
      </c>
      <c r="B73" s="75">
        <v>121907</v>
      </c>
      <c r="C73" s="101">
        <f t="shared" si="3"/>
        <v>11.71101373793879</v>
      </c>
      <c r="E73" s="3">
        <v>48</v>
      </c>
      <c r="F73" s="3">
        <v>10.798246238332805</v>
      </c>
      <c r="G73" s="3">
        <v>-0.1870185029338316</v>
      </c>
      <c r="H73">
        <f t="shared" si="1"/>
        <v>48934.905676551534</v>
      </c>
      <c r="I73">
        <f t="shared" si="2"/>
        <v>20.564959289818503</v>
      </c>
    </row>
    <row r="74" spans="1:9">
      <c r="A74" s="98">
        <v>85129</v>
      </c>
      <c r="B74" s="75">
        <v>67561</v>
      </c>
      <c r="C74" s="101">
        <f t="shared" si="3"/>
        <v>11.120786172469979</v>
      </c>
      <c r="E74" s="3">
        <v>49</v>
      </c>
      <c r="F74" s="3">
        <v>10.887897930960325</v>
      </c>
      <c r="G74" s="3">
        <v>-8.5021684625397498E-2</v>
      </c>
      <c r="H74">
        <f t="shared" si="1"/>
        <v>53524.669082841101</v>
      </c>
      <c r="I74">
        <f t="shared" si="2"/>
        <v>8.8740675376125893</v>
      </c>
    </row>
    <row r="75" spans="1:9">
      <c r="A75" s="98">
        <v>78123</v>
      </c>
      <c r="B75" s="75">
        <v>59743</v>
      </c>
      <c r="C75" s="101">
        <f t="shared" si="3"/>
        <v>10.997807308118881</v>
      </c>
      <c r="E75" s="3">
        <v>50</v>
      </c>
      <c r="F75" s="3">
        <v>11.35576295645301</v>
      </c>
      <c r="G75" s="3">
        <v>-0.14110876548883056</v>
      </c>
      <c r="H75">
        <f t="shared" si="1"/>
        <v>85456.517341376195</v>
      </c>
      <c r="I75">
        <f t="shared" si="2"/>
        <v>15.154989006031794</v>
      </c>
    </row>
    <row r="76" spans="1:9">
      <c r="A76" s="98">
        <v>135821</v>
      </c>
      <c r="B76" s="75">
        <v>90296</v>
      </c>
      <c r="C76" s="101">
        <f t="shared" si="3"/>
        <v>11.410848441635462</v>
      </c>
      <c r="E76" s="3">
        <v>51</v>
      </c>
      <c r="F76" s="3">
        <v>11.21637355604595</v>
      </c>
      <c r="G76" s="3">
        <v>0.17837629621960893</v>
      </c>
      <c r="H76">
        <f t="shared" si="1"/>
        <v>74337.703836016401</v>
      </c>
      <c r="I76">
        <f t="shared" si="2"/>
        <v>16.337245553361242</v>
      </c>
    </row>
    <row r="77" spans="1:9">
      <c r="A77" s="98">
        <v>112512</v>
      </c>
      <c r="B77" s="75">
        <v>124744</v>
      </c>
      <c r="C77" s="101">
        <f t="shared" si="3"/>
        <v>11.734018916264722</v>
      </c>
      <c r="E77" s="3">
        <v>52</v>
      </c>
      <c r="F77" s="3">
        <v>11.175577655524567</v>
      </c>
      <c r="G77" s="3">
        <v>-0.25486865253584234</v>
      </c>
      <c r="H77">
        <f t="shared" si="1"/>
        <v>71366.057884113441</v>
      </c>
      <c r="I77">
        <f t="shared" si="2"/>
        <v>29.029213314253195</v>
      </c>
    </row>
    <row r="78" spans="1:9">
      <c r="A78" s="98">
        <v>90766</v>
      </c>
      <c r="B78" s="75">
        <v>70946</v>
      </c>
      <c r="C78" s="101">
        <f t="shared" si="3"/>
        <v>11.169674303268108</v>
      </c>
      <c r="E78" s="3">
        <v>53</v>
      </c>
      <c r="F78" s="3">
        <v>10.958731528887787</v>
      </c>
      <c r="G78" s="3">
        <v>5.9864826844913566E-2</v>
      </c>
      <c r="H78">
        <f t="shared" si="1"/>
        <v>57453.518668095756</v>
      </c>
      <c r="I78">
        <f t="shared" si="2"/>
        <v>5.810815652815247</v>
      </c>
    </row>
    <row r="79" spans="1:9">
      <c r="A79" s="98">
        <v>57057</v>
      </c>
      <c r="B79" s="75">
        <v>41840</v>
      </c>
      <c r="C79" s="101">
        <f t="shared" si="3"/>
        <v>10.641608098738805</v>
      </c>
      <c r="E79" s="3">
        <v>54</v>
      </c>
      <c r="F79" s="3">
        <v>10.95775032469486</v>
      </c>
      <c r="G79" s="3">
        <v>-4.61316253988997E-3</v>
      </c>
      <c r="H79">
        <f t="shared" si="1"/>
        <v>57397.172682659446</v>
      </c>
      <c r="I79">
        <f t="shared" si="2"/>
        <v>0.46238195554136113</v>
      </c>
    </row>
    <row r="80" spans="1:9">
      <c r="A80" s="98">
        <v>72932</v>
      </c>
      <c r="B80" s="75">
        <v>60844</v>
      </c>
      <c r="C80" s="101">
        <f t="shared" si="3"/>
        <v>11.016068490431634</v>
      </c>
      <c r="E80" s="3">
        <v>55</v>
      </c>
      <c r="F80" s="3">
        <v>11.347609616849882</v>
      </c>
      <c r="G80" s="3">
        <v>0.40329283799245985</v>
      </c>
      <c r="H80">
        <f t="shared" si="1"/>
        <v>84762.594074372624</v>
      </c>
      <c r="I80">
        <f t="shared" si="2"/>
        <v>33.188357919749166</v>
      </c>
    </row>
    <row r="81" spans="1:9">
      <c r="A81" s="98">
        <v>106794</v>
      </c>
      <c r="B81" s="75">
        <v>188561</v>
      </c>
      <c r="C81" s="101">
        <f t="shared" si="3"/>
        <v>12.147176840947669</v>
      </c>
      <c r="E81" s="3">
        <v>56</v>
      </c>
      <c r="F81" s="3">
        <v>10.995620134140909</v>
      </c>
      <c r="G81" s="3">
        <v>-0.21327376373949036</v>
      </c>
      <c r="H81">
        <f t="shared" si="1"/>
        <v>59612.47445810162</v>
      </c>
      <c r="I81">
        <f t="shared" si="2"/>
        <v>23.772344866602204</v>
      </c>
    </row>
    <row r="82" spans="1:9">
      <c r="A82" s="98">
        <v>134791</v>
      </c>
      <c r="B82" s="75">
        <v>163879</v>
      </c>
      <c r="C82" s="101">
        <f t="shared" si="3"/>
        <v>12.006883629616317</v>
      </c>
      <c r="E82" s="3">
        <v>57</v>
      </c>
      <c r="F82" s="3">
        <v>11.319505125323913</v>
      </c>
      <c r="G82" s="3">
        <v>-8.4126600547280717E-2</v>
      </c>
      <c r="H82">
        <f t="shared" si="1"/>
        <v>82413.548450447153</v>
      </c>
      <c r="I82">
        <f t="shared" si="2"/>
        <v>8.7766596938482042</v>
      </c>
    </row>
    <row r="83" spans="1:9">
      <c r="A83" s="98">
        <v>84096</v>
      </c>
      <c r="B83" s="75">
        <v>66006</v>
      </c>
      <c r="C83" s="101">
        <f t="shared" si="3"/>
        <v>11.097500925967491</v>
      </c>
      <c r="E83" s="3">
        <v>58</v>
      </c>
      <c r="F83" s="3">
        <v>10.994294340380229</v>
      </c>
      <c r="G83" s="3">
        <v>0.12619575949058692</v>
      </c>
      <c r="H83">
        <f t="shared" si="1"/>
        <v>59533.49297955112</v>
      </c>
      <c r="I83">
        <f t="shared" si="2"/>
        <v>11.855772079846139</v>
      </c>
    </row>
    <row r="84" spans="1:9">
      <c r="A84" s="98">
        <v>307068</v>
      </c>
      <c r="B84" s="75">
        <v>162572</v>
      </c>
      <c r="C84" s="101">
        <f t="shared" si="3"/>
        <v>11.998876259545412</v>
      </c>
      <c r="E84" s="3">
        <v>59</v>
      </c>
      <c r="F84" s="3">
        <v>11.031177105132201</v>
      </c>
      <c r="G84" s="3">
        <v>0.14789668653939536</v>
      </c>
      <c r="H84">
        <f t="shared" si="1"/>
        <v>61770.248096136405</v>
      </c>
      <c r="I84">
        <f t="shared" si="2"/>
        <v>13.747977971212572</v>
      </c>
    </row>
    <row r="85" spans="1:9">
      <c r="A85" s="98">
        <v>174153</v>
      </c>
      <c r="B85" s="75">
        <v>110473</v>
      </c>
      <c r="C85" s="101">
        <f t="shared" si="3"/>
        <v>11.61252642619171</v>
      </c>
      <c r="E85" s="3">
        <v>60</v>
      </c>
      <c r="F85" s="3">
        <v>11.276565760881077</v>
      </c>
      <c r="G85" s="3">
        <v>-0.23393196663654869</v>
      </c>
      <c r="H85">
        <f t="shared" si="1"/>
        <v>78949.663768241924</v>
      </c>
      <c r="I85">
        <f t="shared" si="2"/>
        <v>26.355852514711316</v>
      </c>
    </row>
    <row r="86" spans="1:9" ht="17" thickBot="1">
      <c r="A86" s="99">
        <v>94248</v>
      </c>
      <c r="B86" s="76">
        <v>56942</v>
      </c>
      <c r="C86" s="102">
        <f t="shared" si="3"/>
        <v>10.949788484907829</v>
      </c>
      <c r="E86" s="3">
        <v>61</v>
      </c>
      <c r="F86" s="3">
        <v>11.092000084091353</v>
      </c>
      <c r="G86" s="3">
        <v>-1.8277499214148563E-2</v>
      </c>
      <c r="H86">
        <f t="shared" si="1"/>
        <v>65643.908248909313</v>
      </c>
      <c r="I86">
        <f t="shared" si="2"/>
        <v>1.8445555021477194</v>
      </c>
    </row>
    <row r="87" spans="1:9">
      <c r="E87" s="3">
        <v>62</v>
      </c>
      <c r="F87" s="3">
        <v>11.161905042336226</v>
      </c>
      <c r="G87" s="3">
        <v>-5.593695194505699E-5</v>
      </c>
      <c r="H87">
        <f t="shared" si="1"/>
        <v>70396.937679988143</v>
      </c>
      <c r="I87">
        <f t="shared" si="2"/>
        <v>5.5938516445426644E-3</v>
      </c>
    </row>
    <row r="88" spans="1:9">
      <c r="E88" s="3">
        <v>63</v>
      </c>
      <c r="F88" s="3">
        <v>11.036585409195593</v>
      </c>
      <c r="G88" s="3">
        <v>-5.7651846023194508E-2</v>
      </c>
      <c r="H88">
        <f t="shared" si="1"/>
        <v>62105.225392949382</v>
      </c>
      <c r="I88">
        <f t="shared" si="2"/>
        <v>5.9346115937457471</v>
      </c>
    </row>
    <row r="89" spans="1:9">
      <c r="E89" s="3">
        <v>64</v>
      </c>
      <c r="F89" s="3">
        <v>11.435900472709831</v>
      </c>
      <c r="G89" s="3">
        <v>0.34215466024166652</v>
      </c>
      <c r="H89">
        <f t="shared" si="1"/>
        <v>92586.671381533335</v>
      </c>
      <c r="I89">
        <f t="shared" si="2"/>
        <v>28.976164942057892</v>
      </c>
    </row>
    <row r="90" spans="1:9">
      <c r="E90" s="3">
        <v>65</v>
      </c>
      <c r="F90" s="3">
        <v>11.580657293672246</v>
      </c>
      <c r="G90" s="3">
        <v>-0.30245466189000325</v>
      </c>
      <c r="H90">
        <f t="shared" si="1"/>
        <v>107007.83057093569</v>
      </c>
      <c r="I90">
        <f t="shared" si="2"/>
        <v>35.317632457334682</v>
      </c>
    </row>
    <row r="91" spans="1:9">
      <c r="E91" s="3">
        <v>66</v>
      </c>
      <c r="F91" s="3">
        <v>11.003715068732554</v>
      </c>
      <c r="G91" s="3">
        <v>5.2776287288551771E-3</v>
      </c>
      <c r="H91">
        <f t="shared" ref="H91:H110" si="4">EXP(F91)</f>
        <v>60096.991962655658</v>
      </c>
      <c r="I91">
        <f t="shared" ref="I91:I110" si="5">ABS((H91-B67)/B67)*100</f>
        <v>0.52637265140170741</v>
      </c>
    </row>
    <row r="92" spans="1:9">
      <c r="E92" s="3">
        <v>67</v>
      </c>
      <c r="F92" s="3">
        <v>11.179070275211293</v>
      </c>
      <c r="G92" s="3">
        <v>-0.22505834481411036</v>
      </c>
      <c r="H92">
        <f t="shared" si="4"/>
        <v>71615.748165621655</v>
      </c>
      <c r="I92">
        <f t="shared" si="5"/>
        <v>25.239578485951515</v>
      </c>
    </row>
    <row r="93" spans="1:9">
      <c r="E93" s="3">
        <v>68</v>
      </c>
      <c r="F93" s="3">
        <v>11.088647636432189</v>
      </c>
      <c r="G93" s="3">
        <v>-0.17050928240882435</v>
      </c>
      <c r="H93">
        <f t="shared" si="4"/>
        <v>65424.208953321388</v>
      </c>
      <c r="I93">
        <f t="shared" si="5"/>
        <v>18.590865997174788</v>
      </c>
    </row>
    <row r="94" spans="1:9">
      <c r="E94" s="3">
        <v>69</v>
      </c>
      <c r="F94" s="3">
        <v>11.098459678361454</v>
      </c>
      <c r="G94" s="3">
        <v>-2.0850466468905537E-2</v>
      </c>
      <c r="H94">
        <f t="shared" si="4"/>
        <v>66069.313756774034</v>
      </c>
      <c r="I94">
        <f t="shared" si="5"/>
        <v>2.1069356114951225</v>
      </c>
    </row>
    <row r="95" spans="1:9">
      <c r="E95" s="3">
        <v>70</v>
      </c>
      <c r="F95" s="3">
        <v>11.066920972160242</v>
      </c>
      <c r="G95" s="3">
        <v>0.20423861736768245</v>
      </c>
      <c r="H95">
        <f t="shared" si="4"/>
        <v>64018.089584406385</v>
      </c>
      <c r="I95">
        <f t="shared" si="5"/>
        <v>18.473218908351097</v>
      </c>
    </row>
    <row r="96" spans="1:9">
      <c r="E96" s="3">
        <v>71</v>
      </c>
      <c r="F96" s="3">
        <v>11.115438015199773</v>
      </c>
      <c r="G96" s="3">
        <v>9.4596980365990291E-2</v>
      </c>
      <c r="H96">
        <f t="shared" si="4"/>
        <v>67200.637642894566</v>
      </c>
      <c r="I96">
        <f t="shared" si="5"/>
        <v>9.0260496522248257</v>
      </c>
    </row>
    <row r="97" spans="5:9">
      <c r="E97" s="3">
        <v>72</v>
      </c>
      <c r="F97" s="3">
        <v>11.348567459038215</v>
      </c>
      <c r="G97" s="3">
        <v>0.36244627890057579</v>
      </c>
      <c r="H97">
        <f t="shared" si="4"/>
        <v>84843.82215860227</v>
      </c>
      <c r="I97">
        <f t="shared" si="5"/>
        <v>30.402829896066454</v>
      </c>
    </row>
    <row r="98" spans="5:9">
      <c r="E98" s="3">
        <v>73</v>
      </c>
      <c r="F98" s="3">
        <v>11.150504384094603</v>
      </c>
      <c r="G98" s="3">
        <v>-2.9718211624624402E-2</v>
      </c>
      <c r="H98">
        <f t="shared" si="4"/>
        <v>69598.923837257564</v>
      </c>
      <c r="I98">
        <f t="shared" si="5"/>
        <v>3.0164204752113846</v>
      </c>
    </row>
    <row r="99" spans="5:9">
      <c r="E99" s="3">
        <v>74</v>
      </c>
      <c r="F99" s="3">
        <v>11.109585833049104</v>
      </c>
      <c r="G99" s="3">
        <v>-0.111778524930223</v>
      </c>
      <c r="H99">
        <f t="shared" si="4"/>
        <v>66808.515774184081</v>
      </c>
      <c r="I99">
        <f t="shared" si="5"/>
        <v>11.826516536136587</v>
      </c>
    </row>
    <row r="100" spans="5:9">
      <c r="E100" s="3">
        <v>75</v>
      </c>
      <c r="F100" s="3">
        <v>11.446571068307907</v>
      </c>
      <c r="G100" s="3">
        <v>-3.5722626672445301E-2</v>
      </c>
      <c r="H100">
        <f t="shared" si="4"/>
        <v>93579.916141848546</v>
      </c>
      <c r="I100">
        <f t="shared" si="5"/>
        <v>3.6368345683624361</v>
      </c>
    </row>
    <row r="101" spans="5:9">
      <c r="E101" s="3">
        <v>76</v>
      </c>
      <c r="F101" s="3">
        <v>11.31043482704049</v>
      </c>
      <c r="G101" s="3">
        <v>0.42358408922423152</v>
      </c>
      <c r="H101">
        <f t="shared" si="4"/>
        <v>81669.412851013345</v>
      </c>
      <c r="I101">
        <f t="shared" si="5"/>
        <v>34.530387953718538</v>
      </c>
    </row>
    <row r="102" spans="5:9">
      <c r="E102" s="3">
        <v>77</v>
      </c>
      <c r="F102" s="3">
        <v>11.183427289067978</v>
      </c>
      <c r="G102" s="3">
        <v>-1.3752985799870387E-2</v>
      </c>
      <c r="H102">
        <f t="shared" si="4"/>
        <v>71928.459722330706</v>
      </c>
      <c r="I102">
        <f t="shared" si="5"/>
        <v>1.3847993154380889</v>
      </c>
    </row>
    <row r="103" spans="5:9">
      <c r="E103" s="3">
        <v>78</v>
      </c>
      <c r="F103" s="3">
        <v>10.986549835857486</v>
      </c>
      <c r="G103" s="3">
        <v>-0.34494173711868115</v>
      </c>
      <c r="H103">
        <f t="shared" si="4"/>
        <v>59074.216304573813</v>
      </c>
      <c r="I103">
        <f t="shared" si="5"/>
        <v>41.190765546304526</v>
      </c>
    </row>
    <row r="104" spans="5:9">
      <c r="E104" s="3">
        <v>79</v>
      </c>
      <c r="F104" s="3">
        <v>11.079267791587901</v>
      </c>
      <c r="G104" s="3">
        <v>-6.319930115626704E-2</v>
      </c>
      <c r="H104">
        <f t="shared" si="4"/>
        <v>64813.409106426472</v>
      </c>
      <c r="I104">
        <f t="shared" si="5"/>
        <v>6.523912146516456</v>
      </c>
    </row>
    <row r="105" spans="5:9">
      <c r="E105" s="3">
        <v>80</v>
      </c>
      <c r="F105" s="3">
        <v>11.277038841474095</v>
      </c>
      <c r="G105" s="3">
        <v>0.87013799947357384</v>
      </c>
      <c r="H105">
        <f t="shared" si="4"/>
        <v>78987.022158063832</v>
      </c>
      <c r="I105">
        <f t="shared" si="5"/>
        <v>58.11062618565672</v>
      </c>
    </row>
    <row r="106" spans="5:9">
      <c r="E106" s="3">
        <v>81</v>
      </c>
      <c r="F106" s="3">
        <v>11.440555352125084</v>
      </c>
      <c r="G106" s="3">
        <v>0.56632827749123216</v>
      </c>
      <c r="H106">
        <f t="shared" si="4"/>
        <v>93018.655809969845</v>
      </c>
      <c r="I106">
        <f t="shared" si="5"/>
        <v>43.239429206933259</v>
      </c>
    </row>
    <row r="107" spans="5:9">
      <c r="E107" s="3">
        <v>82</v>
      </c>
      <c r="F107" s="3">
        <v>11.144471146408334</v>
      </c>
      <c r="G107" s="3">
        <v>-4.6970220440842425E-2</v>
      </c>
      <c r="H107">
        <f t="shared" si="4"/>
        <v>69180.28114236136</v>
      </c>
      <c r="I107">
        <f t="shared" si="5"/>
        <v>4.8090796933026692</v>
      </c>
    </row>
    <row r="108" spans="5:9">
      <c r="E108" s="3">
        <v>83</v>
      </c>
      <c r="F108" s="3">
        <v>12.446739368463275</v>
      </c>
      <c r="G108" s="3">
        <v>-0.44786310891786307</v>
      </c>
      <c r="H108">
        <f t="shared" si="4"/>
        <v>254419.4007787825</v>
      </c>
      <c r="I108">
        <f t="shared" si="5"/>
        <v>56.496445131254148</v>
      </c>
    </row>
    <row r="109" spans="5:9">
      <c r="E109" s="3">
        <v>84</v>
      </c>
      <c r="F109" s="3">
        <v>11.670449158327328</v>
      </c>
      <c r="G109" s="3">
        <v>-5.7922732135617494E-2</v>
      </c>
      <c r="H109">
        <f t="shared" si="4"/>
        <v>117060.84932981763</v>
      </c>
      <c r="I109">
        <f t="shared" si="5"/>
        <v>5.9633116959054542</v>
      </c>
    </row>
    <row r="110" spans="5:9" ht="17" thickBot="1">
      <c r="E110" s="4">
        <v>85</v>
      </c>
      <c r="F110" s="4">
        <v>11.203763914066613</v>
      </c>
      <c r="G110" s="4">
        <v>-0.25397542915878368</v>
      </c>
      <c r="H110">
        <f t="shared" si="4"/>
        <v>73406.217203951252</v>
      </c>
      <c r="I110">
        <f t="shared" si="5"/>
        <v>28.914012862125059</v>
      </c>
    </row>
    <row r="111" spans="5:9" ht="17" thickBot="1">
      <c r="G111" s="269" t="s">
        <v>34</v>
      </c>
      <c r="H111" s="270"/>
      <c r="I111" s="131">
        <f>AVERAGE(I26:I110)</f>
        <v>17.227491910426366</v>
      </c>
    </row>
  </sheetData>
  <mergeCells count="4">
    <mergeCell ref="H21:H22"/>
    <mergeCell ref="I21:K22"/>
    <mergeCell ref="K13:M15"/>
    <mergeCell ref="G111:H1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654A3-12EA-0B40-B970-BBC4FFFFA5CA}">
  <dimension ref="A1:F17"/>
  <sheetViews>
    <sheetView zoomScale="144" workbookViewId="0">
      <selection activeCell="A9" sqref="A9:F17"/>
    </sheetView>
  </sheetViews>
  <sheetFormatPr baseColWidth="10" defaultRowHeight="16"/>
  <cols>
    <col min="1" max="1" width="17.5" bestFit="1" customWidth="1"/>
    <col min="2" max="2" width="39.1640625" customWidth="1"/>
    <col min="5" max="5" width="12.5" bestFit="1" customWidth="1"/>
    <col min="6" max="6" width="29.83203125" bestFit="1" customWidth="1"/>
  </cols>
  <sheetData>
    <row r="1" spans="1:6" ht="17" thickBot="1">
      <c r="A1" s="159" t="s">
        <v>159</v>
      </c>
      <c r="B1" s="159" t="s">
        <v>160</v>
      </c>
      <c r="C1" s="159" t="s">
        <v>161</v>
      </c>
      <c r="D1" s="159" t="s">
        <v>15</v>
      </c>
      <c r="E1" s="159" t="s">
        <v>16</v>
      </c>
      <c r="F1" s="159" t="s">
        <v>34</v>
      </c>
    </row>
    <row r="2" spans="1:6" ht="21" customHeight="1" thickBot="1">
      <c r="A2" s="159" t="s">
        <v>162</v>
      </c>
      <c r="B2" s="159"/>
      <c r="C2" s="160">
        <v>0.45</v>
      </c>
      <c r="D2" s="166">
        <v>33.964221639999998</v>
      </c>
      <c r="E2" s="170" t="s">
        <v>168</v>
      </c>
      <c r="F2" s="171">
        <v>18.809999999999999</v>
      </c>
    </row>
    <row r="3" spans="1:6" ht="33" customHeight="1" thickBot="1">
      <c r="A3" s="159" t="s">
        <v>163</v>
      </c>
      <c r="B3" s="159"/>
      <c r="C3" s="161">
        <v>0.31</v>
      </c>
      <c r="D3" s="167">
        <v>36.462915312263213</v>
      </c>
      <c r="E3" s="170" t="s">
        <v>168</v>
      </c>
      <c r="F3" s="172">
        <v>22.71</v>
      </c>
    </row>
    <row r="4" spans="1:6" ht="24" customHeight="1" thickBot="1">
      <c r="A4" s="159" t="s">
        <v>164</v>
      </c>
      <c r="B4" s="159"/>
      <c r="C4" s="162">
        <v>0.45</v>
      </c>
      <c r="D4" s="167">
        <v>66.690607638458829</v>
      </c>
      <c r="E4" s="170" t="s">
        <v>168</v>
      </c>
      <c r="F4" s="173">
        <v>18.87</v>
      </c>
    </row>
    <row r="5" spans="1:6" ht="20" customHeight="1" thickBot="1">
      <c r="A5" s="159" t="s">
        <v>165</v>
      </c>
      <c r="B5" s="159"/>
      <c r="C5" s="163">
        <v>0.5</v>
      </c>
      <c r="D5" s="167">
        <v>83.913235576848962</v>
      </c>
      <c r="E5" s="170" t="s">
        <v>168</v>
      </c>
      <c r="F5" s="174">
        <v>17.28</v>
      </c>
    </row>
    <row r="6" spans="1:6" ht="23" customHeight="1" thickBot="1">
      <c r="A6" s="159" t="s">
        <v>166</v>
      </c>
      <c r="B6" s="159"/>
      <c r="C6" s="164">
        <v>0.45</v>
      </c>
      <c r="D6" s="168">
        <v>66.702247459999995</v>
      </c>
      <c r="E6" s="170" t="s">
        <v>168</v>
      </c>
      <c r="F6" s="175">
        <v>17.23</v>
      </c>
    </row>
    <row r="7" spans="1:6" ht="29" customHeight="1" thickBot="1">
      <c r="A7" s="159" t="s">
        <v>167</v>
      </c>
      <c r="B7" s="159"/>
      <c r="C7" s="165">
        <v>0.45</v>
      </c>
      <c r="D7" s="169">
        <v>66.702247459999995</v>
      </c>
      <c r="E7" s="170" t="s">
        <v>168</v>
      </c>
      <c r="F7" s="176">
        <v>17.23</v>
      </c>
    </row>
    <row r="8" spans="1:6" ht="17" thickBot="1"/>
    <row r="9" spans="1:6" ht="16" customHeight="1">
      <c r="A9" s="271" t="s">
        <v>169</v>
      </c>
      <c r="B9" s="272"/>
      <c r="C9" s="272"/>
      <c r="D9" s="272"/>
      <c r="E9" s="272"/>
      <c r="F9" s="273"/>
    </row>
    <row r="10" spans="1:6">
      <c r="A10" s="274"/>
      <c r="B10" s="275"/>
      <c r="C10" s="275"/>
      <c r="D10" s="275"/>
      <c r="E10" s="275"/>
      <c r="F10" s="276"/>
    </row>
    <row r="11" spans="1:6">
      <c r="A11" s="274"/>
      <c r="B11" s="275"/>
      <c r="C11" s="275"/>
      <c r="D11" s="275"/>
      <c r="E11" s="275"/>
      <c r="F11" s="276"/>
    </row>
    <row r="12" spans="1:6">
      <c r="A12" s="274"/>
      <c r="B12" s="275"/>
      <c r="C12" s="275"/>
      <c r="D12" s="275"/>
      <c r="E12" s="275"/>
      <c r="F12" s="276"/>
    </row>
    <row r="13" spans="1:6">
      <c r="A13" s="274"/>
      <c r="B13" s="275"/>
      <c r="C13" s="275"/>
      <c r="D13" s="275"/>
      <c r="E13" s="275"/>
      <c r="F13" s="276"/>
    </row>
    <row r="14" spans="1:6">
      <c r="A14" s="274"/>
      <c r="B14" s="275"/>
      <c r="C14" s="275"/>
      <c r="D14" s="275"/>
      <c r="E14" s="275"/>
      <c r="F14" s="276"/>
    </row>
    <row r="15" spans="1:6">
      <c r="A15" s="274"/>
      <c r="B15" s="275"/>
      <c r="C15" s="275"/>
      <c r="D15" s="275"/>
      <c r="E15" s="275"/>
      <c r="F15" s="276"/>
    </row>
    <row r="16" spans="1:6">
      <c r="A16" s="274"/>
      <c r="B16" s="275"/>
      <c r="C16" s="275"/>
      <c r="D16" s="275"/>
      <c r="E16" s="275"/>
      <c r="F16" s="276"/>
    </row>
    <row r="17" spans="1:6" ht="17" thickBot="1">
      <c r="A17" s="277"/>
      <c r="B17" s="278"/>
      <c r="C17" s="278"/>
      <c r="D17" s="278"/>
      <c r="E17" s="278"/>
      <c r="F17" s="279"/>
    </row>
  </sheetData>
  <mergeCells count="1">
    <mergeCell ref="A9:F17"/>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8</vt:i4>
      </vt:variant>
    </vt:vector>
  </HeadingPairs>
  <TitlesOfParts>
    <vt:vector size="8" baseType="lpstr">
      <vt:lpstr>Регрессионный анализ</vt:lpstr>
      <vt:lpstr>Парабола</vt:lpstr>
      <vt:lpstr>Гипербола</vt:lpstr>
      <vt:lpstr>Корневая</vt:lpstr>
      <vt:lpstr>Степенная</vt:lpstr>
      <vt:lpstr>Показательная</vt:lpstr>
      <vt:lpstr>Экспоненциальная</vt:lpstr>
      <vt:lpstr>Сравнение</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2026-09-23T17:41:12Z</dcterms:created>
  <dcterms:modified xsi:type="dcterms:W3CDTF">2026-10-25T20:12:18Z</dcterms:modified>
  <cp:category/>
</cp:coreProperties>
</file>