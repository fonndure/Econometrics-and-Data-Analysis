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drawings/drawing3.xml" ContentType="application/vnd.openxmlformats-officedocument.drawing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lexandershalbaev/Downloads/"/>
    </mc:Choice>
  </mc:AlternateContent>
  <xr:revisionPtr revIDLastSave="0" documentId="8_{0E040E49-7F9D-824B-8E5E-069A1FF19863}" xr6:coauthVersionLast="47" xr6:coauthVersionMax="47" xr10:uidLastSave="{00000000-0000-0000-0000-000000000000}"/>
  <bookViews>
    <workbookView xWindow="0" yWindow="740" windowWidth="29400" windowHeight="17000" activeTab="7" xr2:uid="{948E647C-69A9-D742-AD50-D45B795CC807}"/>
  </bookViews>
  <sheets>
    <sheet name="Датасет" sheetId="1" r:id="rId1"/>
    <sheet name="Цели и задачи" sheetId="9" r:id="rId2"/>
    <sheet name="Корреляционный анализ" sheetId="2" r:id="rId3"/>
    <sheet name="Модель 1" sheetId="3" r:id="rId4"/>
    <sheet name="Модель 2" sheetId="5" r:id="rId5"/>
    <sheet name="Модель 3" sheetId="6" r:id="rId6"/>
    <sheet name="Сравнение" sheetId="7" r:id="rId7"/>
    <sheet name="Выводы" sheetId="8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197" i="6" l="1"/>
  <c r="J30" i="6"/>
  <c r="J31" i="6"/>
  <c r="J32" i="6"/>
  <c r="J33" i="6"/>
  <c r="J34" i="6"/>
  <c r="J35" i="6"/>
  <c r="J36" i="6"/>
  <c r="J37" i="6"/>
  <c r="J38" i="6"/>
  <c r="J39" i="6"/>
  <c r="J40" i="6"/>
  <c r="J41" i="6"/>
  <c r="J42" i="6"/>
  <c r="J43" i="6"/>
  <c r="J44" i="6"/>
  <c r="J45" i="6"/>
  <c r="J46" i="6"/>
  <c r="J47" i="6"/>
  <c r="J48" i="6"/>
  <c r="J49" i="6"/>
  <c r="J50" i="6"/>
  <c r="J51" i="6"/>
  <c r="J52" i="6"/>
  <c r="J53" i="6"/>
  <c r="J54" i="6"/>
  <c r="J55" i="6"/>
  <c r="J56" i="6"/>
  <c r="J57" i="6"/>
  <c r="J58" i="6"/>
  <c r="J59" i="6"/>
  <c r="J60" i="6"/>
  <c r="J61" i="6"/>
  <c r="J62" i="6"/>
  <c r="J63" i="6"/>
  <c r="J64" i="6"/>
  <c r="J65" i="6"/>
  <c r="J66" i="6"/>
  <c r="J67" i="6"/>
  <c r="J68" i="6"/>
  <c r="J69" i="6"/>
  <c r="J70" i="6"/>
  <c r="J71" i="6"/>
  <c r="J72" i="6"/>
  <c r="J73" i="6"/>
  <c r="J74" i="6"/>
  <c r="J75" i="6"/>
  <c r="J76" i="6"/>
  <c r="J77" i="6"/>
  <c r="J78" i="6"/>
  <c r="J79" i="6"/>
  <c r="J80" i="6"/>
  <c r="J81" i="6"/>
  <c r="J82" i="6"/>
  <c r="J83" i="6"/>
  <c r="J84" i="6"/>
  <c r="J85" i="6"/>
  <c r="J86" i="6"/>
  <c r="J87" i="6"/>
  <c r="J88" i="6"/>
  <c r="J89" i="6"/>
  <c r="J90" i="6"/>
  <c r="J91" i="6"/>
  <c r="J92" i="6"/>
  <c r="J93" i="6"/>
  <c r="J94" i="6"/>
  <c r="J95" i="6"/>
  <c r="J96" i="6"/>
  <c r="J97" i="6"/>
  <c r="J98" i="6"/>
  <c r="J99" i="6"/>
  <c r="J100" i="6"/>
  <c r="J101" i="6"/>
  <c r="J102" i="6"/>
  <c r="J103" i="6"/>
  <c r="J104" i="6"/>
  <c r="J105" i="6"/>
  <c r="J106" i="6"/>
  <c r="J107" i="6"/>
  <c r="J108" i="6"/>
  <c r="J109" i="6"/>
  <c r="J110" i="6"/>
  <c r="J111" i="6"/>
  <c r="J112" i="6"/>
  <c r="J113" i="6"/>
  <c r="J114" i="6"/>
  <c r="J115" i="6"/>
  <c r="J116" i="6"/>
  <c r="J117" i="6"/>
  <c r="J118" i="6"/>
  <c r="J119" i="6"/>
  <c r="J120" i="6"/>
  <c r="J121" i="6"/>
  <c r="J122" i="6"/>
  <c r="J123" i="6"/>
  <c r="J124" i="6"/>
  <c r="J125" i="6"/>
  <c r="J126" i="6"/>
  <c r="J127" i="6"/>
  <c r="J128" i="6"/>
  <c r="J129" i="6"/>
  <c r="J130" i="6"/>
  <c r="J131" i="6"/>
  <c r="J132" i="6"/>
  <c r="J133" i="6"/>
  <c r="J134" i="6"/>
  <c r="J135" i="6"/>
  <c r="J136" i="6"/>
  <c r="J137" i="6"/>
  <c r="J138" i="6"/>
  <c r="J139" i="6"/>
  <c r="J140" i="6"/>
  <c r="J141" i="6"/>
  <c r="J142" i="6"/>
  <c r="J143" i="6"/>
  <c r="J144" i="6"/>
  <c r="J145" i="6"/>
  <c r="J146" i="6"/>
  <c r="J147" i="6"/>
  <c r="J148" i="6"/>
  <c r="J149" i="6"/>
  <c r="J150" i="6"/>
  <c r="J151" i="6"/>
  <c r="J152" i="6"/>
  <c r="J153" i="6"/>
  <c r="J154" i="6"/>
  <c r="J155" i="6"/>
  <c r="J156" i="6"/>
  <c r="J157" i="6"/>
  <c r="J158" i="6"/>
  <c r="J159" i="6"/>
  <c r="J160" i="6"/>
  <c r="J161" i="6"/>
  <c r="J162" i="6"/>
  <c r="J163" i="6"/>
  <c r="J164" i="6"/>
  <c r="J165" i="6"/>
  <c r="J166" i="6"/>
  <c r="J167" i="6"/>
  <c r="J168" i="6"/>
  <c r="J169" i="6"/>
  <c r="J170" i="6"/>
  <c r="J171" i="6"/>
  <c r="J172" i="6"/>
  <c r="J173" i="6"/>
  <c r="J174" i="6"/>
  <c r="J175" i="6"/>
  <c r="J176" i="6"/>
  <c r="J177" i="6"/>
  <c r="J178" i="6"/>
  <c r="J179" i="6"/>
  <c r="J180" i="6"/>
  <c r="J181" i="6"/>
  <c r="J182" i="6"/>
  <c r="J183" i="6"/>
  <c r="J184" i="6"/>
  <c r="J185" i="6"/>
  <c r="J186" i="6"/>
  <c r="J187" i="6"/>
  <c r="J188" i="6"/>
  <c r="J189" i="6"/>
  <c r="J190" i="6"/>
  <c r="J191" i="6"/>
  <c r="J192" i="6"/>
  <c r="J193" i="6"/>
  <c r="J194" i="6"/>
  <c r="J195" i="6"/>
  <c r="J196" i="6"/>
  <c r="J29" i="6"/>
  <c r="I29" i="5"/>
  <c r="I30" i="5"/>
  <c r="I31" i="5"/>
  <c r="I32" i="5"/>
  <c r="I33" i="5"/>
  <c r="I34" i="5"/>
  <c r="I35" i="5"/>
  <c r="I36" i="5"/>
  <c r="I37" i="5"/>
  <c r="I38" i="5"/>
  <c r="I39" i="5"/>
  <c r="I40" i="5"/>
  <c r="I41" i="5"/>
  <c r="I42" i="5"/>
  <c r="I43" i="5"/>
  <c r="I44" i="5"/>
  <c r="I45" i="5"/>
  <c r="I46" i="5"/>
  <c r="I47" i="5"/>
  <c r="I48" i="5"/>
  <c r="I49" i="5"/>
  <c r="I50" i="5"/>
  <c r="I51" i="5"/>
  <c r="I52" i="5"/>
  <c r="I53" i="5"/>
  <c r="I54" i="5"/>
  <c r="I55" i="5"/>
  <c r="I56" i="5"/>
  <c r="I57" i="5"/>
  <c r="I58" i="5"/>
  <c r="I59" i="5"/>
  <c r="I60" i="5"/>
  <c r="I61" i="5"/>
  <c r="I62" i="5"/>
  <c r="I63" i="5"/>
  <c r="I64" i="5"/>
  <c r="I65" i="5"/>
  <c r="I66" i="5"/>
  <c r="I67" i="5"/>
  <c r="I68" i="5"/>
  <c r="I69" i="5"/>
  <c r="I70" i="5"/>
  <c r="I71" i="5"/>
  <c r="I72" i="5"/>
  <c r="I73" i="5"/>
  <c r="I74" i="5"/>
  <c r="I75" i="5"/>
  <c r="I76" i="5"/>
  <c r="I77" i="5"/>
  <c r="I78" i="5"/>
  <c r="I79" i="5"/>
  <c r="I80" i="5"/>
  <c r="I81" i="5"/>
  <c r="I82" i="5"/>
  <c r="I83" i="5"/>
  <c r="I84" i="5"/>
  <c r="I85" i="5"/>
  <c r="I86" i="5"/>
  <c r="I87" i="5"/>
  <c r="I88" i="5"/>
  <c r="I89" i="5"/>
  <c r="I90" i="5"/>
  <c r="I91" i="5"/>
  <c r="I92" i="5"/>
  <c r="I93" i="5"/>
  <c r="I94" i="5"/>
  <c r="I95" i="5"/>
  <c r="I96" i="5"/>
  <c r="I97" i="5"/>
  <c r="I98" i="5"/>
  <c r="I99" i="5"/>
  <c r="I100" i="5"/>
  <c r="I101" i="5"/>
  <c r="I102" i="5"/>
  <c r="I103" i="5"/>
  <c r="I104" i="5"/>
  <c r="I105" i="5"/>
  <c r="I106" i="5"/>
  <c r="I107" i="5"/>
  <c r="I108" i="5"/>
  <c r="I109" i="5"/>
  <c r="I110" i="5"/>
  <c r="I111" i="5"/>
  <c r="I112" i="5"/>
  <c r="I113" i="5"/>
  <c r="I114" i="5"/>
  <c r="I115" i="5"/>
  <c r="I116" i="5"/>
  <c r="I117" i="5"/>
  <c r="I118" i="5"/>
  <c r="I119" i="5"/>
  <c r="I120" i="5"/>
  <c r="I121" i="5"/>
  <c r="I122" i="5"/>
  <c r="I123" i="5"/>
  <c r="I124" i="5"/>
  <c r="I125" i="5"/>
  <c r="I126" i="5"/>
  <c r="I127" i="5"/>
  <c r="I128" i="5"/>
  <c r="I129" i="5"/>
  <c r="I130" i="5"/>
  <c r="I131" i="5"/>
  <c r="I132" i="5"/>
  <c r="I133" i="5"/>
  <c r="I134" i="5"/>
  <c r="I135" i="5"/>
  <c r="I136" i="5"/>
  <c r="I137" i="5"/>
  <c r="I138" i="5"/>
  <c r="I139" i="5"/>
  <c r="I140" i="5"/>
  <c r="I141" i="5"/>
  <c r="I142" i="5"/>
  <c r="I143" i="5"/>
  <c r="I144" i="5"/>
  <c r="I145" i="5"/>
  <c r="I146" i="5"/>
  <c r="I147" i="5"/>
  <c r="I148" i="5"/>
  <c r="I149" i="5"/>
  <c r="I150" i="5"/>
  <c r="I151" i="5"/>
  <c r="I152" i="5"/>
  <c r="I153" i="5"/>
  <c r="I154" i="5"/>
  <c r="I155" i="5"/>
  <c r="I156" i="5"/>
  <c r="I157" i="5"/>
  <c r="I158" i="5"/>
  <c r="I159" i="5"/>
  <c r="I160" i="5"/>
  <c r="I161" i="5"/>
  <c r="I162" i="5"/>
  <c r="I163" i="5"/>
  <c r="I164" i="5"/>
  <c r="I165" i="5"/>
  <c r="I166" i="5"/>
  <c r="I167" i="5"/>
  <c r="I168" i="5"/>
  <c r="I169" i="5"/>
  <c r="I170" i="5"/>
  <c r="I171" i="5"/>
  <c r="I172" i="5"/>
  <c r="I173" i="5"/>
  <c r="I174" i="5"/>
  <c r="I175" i="5"/>
  <c r="I176" i="5"/>
  <c r="I177" i="5"/>
  <c r="I178" i="5"/>
  <c r="I179" i="5"/>
  <c r="I180" i="5"/>
  <c r="I181" i="5"/>
  <c r="I182" i="5"/>
  <c r="I183" i="5"/>
  <c r="I184" i="5"/>
  <c r="I185" i="5"/>
  <c r="I186" i="5"/>
  <c r="I187" i="5"/>
  <c r="I188" i="5"/>
  <c r="I189" i="5"/>
  <c r="I190" i="5"/>
  <c r="I191" i="5"/>
  <c r="I192" i="5"/>
  <c r="I193" i="5"/>
  <c r="I194" i="5"/>
  <c r="I195" i="5"/>
  <c r="I28" i="5"/>
  <c r="I196" i="5" l="1"/>
  <c r="H28" i="3"/>
  <c r="H29" i="3"/>
  <c r="H30" i="3"/>
  <c r="H31" i="3"/>
  <c r="H32" i="3"/>
  <c r="H33" i="3"/>
  <c r="H34" i="3"/>
  <c r="H35" i="3"/>
  <c r="H36" i="3"/>
  <c r="H37" i="3"/>
  <c r="H38" i="3"/>
  <c r="H39" i="3"/>
  <c r="H40" i="3"/>
  <c r="H41" i="3"/>
  <c r="H42" i="3"/>
  <c r="H43" i="3"/>
  <c r="H44" i="3"/>
  <c r="H45" i="3"/>
  <c r="H46" i="3"/>
  <c r="H47" i="3"/>
  <c r="H48" i="3"/>
  <c r="H49" i="3"/>
  <c r="H50" i="3"/>
  <c r="H51" i="3"/>
  <c r="H52" i="3"/>
  <c r="H53" i="3"/>
  <c r="H54" i="3"/>
  <c r="H55" i="3"/>
  <c r="H56" i="3"/>
  <c r="H57" i="3"/>
  <c r="H58" i="3"/>
  <c r="H59" i="3"/>
  <c r="H60" i="3"/>
  <c r="H61" i="3"/>
  <c r="H62" i="3"/>
  <c r="H63" i="3"/>
  <c r="H64" i="3"/>
  <c r="H65" i="3"/>
  <c r="H66" i="3"/>
  <c r="H67" i="3"/>
  <c r="H68" i="3"/>
  <c r="H69" i="3"/>
  <c r="H70" i="3"/>
  <c r="H71" i="3"/>
  <c r="H72" i="3"/>
  <c r="H73" i="3"/>
  <c r="H74" i="3"/>
  <c r="H75" i="3"/>
  <c r="H76" i="3"/>
  <c r="H77" i="3"/>
  <c r="H78" i="3"/>
  <c r="H79" i="3"/>
  <c r="H80" i="3"/>
  <c r="H81" i="3"/>
  <c r="H82" i="3"/>
  <c r="H83" i="3"/>
  <c r="H84" i="3"/>
  <c r="H85" i="3"/>
  <c r="H86" i="3"/>
  <c r="H87" i="3"/>
  <c r="H88" i="3"/>
  <c r="H89" i="3"/>
  <c r="H90" i="3"/>
  <c r="H91" i="3"/>
  <c r="H92" i="3"/>
  <c r="H93" i="3"/>
  <c r="H94" i="3"/>
  <c r="H95" i="3"/>
  <c r="H96" i="3"/>
  <c r="H97" i="3"/>
  <c r="H98" i="3"/>
  <c r="H99" i="3"/>
  <c r="H100" i="3"/>
  <c r="H101" i="3"/>
  <c r="H102" i="3"/>
  <c r="H103" i="3"/>
  <c r="H104" i="3"/>
  <c r="H105" i="3"/>
  <c r="H106" i="3"/>
  <c r="H107" i="3"/>
  <c r="H108" i="3"/>
  <c r="H109" i="3"/>
  <c r="H110" i="3"/>
  <c r="H111" i="3"/>
  <c r="H112" i="3"/>
  <c r="H113" i="3"/>
  <c r="H114" i="3"/>
  <c r="H115" i="3"/>
  <c r="H116" i="3"/>
  <c r="H117" i="3"/>
  <c r="H118" i="3"/>
  <c r="H119" i="3"/>
  <c r="H120" i="3"/>
  <c r="H121" i="3"/>
  <c r="H122" i="3"/>
  <c r="H123" i="3"/>
  <c r="H124" i="3"/>
  <c r="H125" i="3"/>
  <c r="H126" i="3"/>
  <c r="H127" i="3"/>
  <c r="H128" i="3"/>
  <c r="H129" i="3"/>
  <c r="H130" i="3"/>
  <c r="H131" i="3"/>
  <c r="H132" i="3"/>
  <c r="H133" i="3"/>
  <c r="H134" i="3"/>
  <c r="H135" i="3"/>
  <c r="H136" i="3"/>
  <c r="H137" i="3"/>
  <c r="H138" i="3"/>
  <c r="H139" i="3"/>
  <c r="H140" i="3"/>
  <c r="H141" i="3"/>
  <c r="H142" i="3"/>
  <c r="H143" i="3"/>
  <c r="H144" i="3"/>
  <c r="H145" i="3"/>
  <c r="H146" i="3"/>
  <c r="H147" i="3"/>
  <c r="H148" i="3"/>
  <c r="H149" i="3"/>
  <c r="H150" i="3"/>
  <c r="H151" i="3"/>
  <c r="H152" i="3"/>
  <c r="H153" i="3"/>
  <c r="H154" i="3"/>
  <c r="H155" i="3"/>
  <c r="H156" i="3"/>
  <c r="H157" i="3"/>
  <c r="H158" i="3"/>
  <c r="H159" i="3"/>
  <c r="H160" i="3"/>
  <c r="H161" i="3"/>
  <c r="H162" i="3"/>
  <c r="H163" i="3"/>
  <c r="H164" i="3"/>
  <c r="H165" i="3"/>
  <c r="H166" i="3"/>
  <c r="H167" i="3"/>
  <c r="H168" i="3"/>
  <c r="H169" i="3"/>
  <c r="H170" i="3"/>
  <c r="H171" i="3"/>
  <c r="H172" i="3"/>
  <c r="H173" i="3"/>
  <c r="H174" i="3"/>
  <c r="H175" i="3"/>
  <c r="H176" i="3"/>
  <c r="H177" i="3"/>
  <c r="H178" i="3"/>
  <c r="H179" i="3"/>
  <c r="H180" i="3"/>
  <c r="H181" i="3"/>
  <c r="H182" i="3"/>
  <c r="H183" i="3"/>
  <c r="H184" i="3"/>
  <c r="H185" i="3"/>
  <c r="H186" i="3"/>
  <c r="H187" i="3"/>
  <c r="H188" i="3"/>
  <c r="H189" i="3"/>
  <c r="H190" i="3"/>
  <c r="H191" i="3"/>
  <c r="H192" i="3"/>
  <c r="H193" i="3"/>
  <c r="H194" i="3"/>
  <c r="H27" i="3"/>
  <c r="H195" i="3" s="1"/>
  <c r="O28" i="6"/>
  <c r="O27" i="6"/>
  <c r="O26" i="6"/>
  <c r="O25" i="6"/>
  <c r="M28" i="6"/>
  <c r="M27" i="6"/>
  <c r="M26" i="6"/>
  <c r="M25" i="6"/>
  <c r="K10" i="6"/>
  <c r="M10" i="6"/>
  <c r="I6" i="6"/>
  <c r="M26" i="5"/>
  <c r="M25" i="5"/>
  <c r="M24" i="5"/>
  <c r="K26" i="5"/>
  <c r="K25" i="5"/>
  <c r="K24" i="5"/>
  <c r="H6" i="5"/>
  <c r="L10" i="5"/>
  <c r="J10" i="5"/>
  <c r="L24" i="3"/>
  <c r="L23" i="3"/>
  <c r="J24" i="3"/>
  <c r="J23" i="3"/>
  <c r="K10" i="3"/>
  <c r="I10" i="3"/>
  <c r="G6" i="3"/>
</calcChain>
</file>

<file path=xl/sharedStrings.xml><?xml version="1.0" encoding="utf-8"?>
<sst xmlns="http://schemas.openxmlformats.org/spreadsheetml/2006/main" count="415" uniqueCount="123">
  <si>
    <t>Регион</t>
  </si>
  <si>
    <t>Год</t>
  </si>
  <si>
    <t>Оборот розничной торговли на душу населения, руб.</t>
  </si>
  <si>
    <t>Инвестиции в основной капитал на душу населения, руб.</t>
  </si>
  <si>
    <t>Индекс промышленного производства, % (год к году)</t>
  </si>
  <si>
    <t>Индекс производства сельского хозяйства, % (год к году)</t>
  </si>
  <si>
    <t>Объём строительных работ, млн руб.</t>
  </si>
  <si>
    <t>Грузооборот транспорта, млн т-км</t>
  </si>
  <si>
    <t>Республика Башкортостан</t>
  </si>
  <si>
    <t>Республика Татарстан</t>
  </si>
  <si>
    <t>Удмуртская Республика</t>
  </si>
  <si>
    <t>Пермский край</t>
  </si>
  <si>
    <t>Нижегородская область</t>
  </si>
  <si>
    <t>Самарская область</t>
  </si>
  <si>
    <t>Свердловская область</t>
  </si>
  <si>
    <t>Челябинская область</t>
  </si>
  <si>
    <t>Омская область</t>
  </si>
  <si>
    <t>Новосибирская область</t>
  </si>
  <si>
    <t>Красноярский край</t>
  </si>
  <si>
    <t>Воронежская область</t>
  </si>
  <si>
    <t>Ростовская область</t>
  </si>
  <si>
    <t>Краснодарский край</t>
  </si>
  <si>
    <t>Y</t>
  </si>
  <si>
    <t>X1</t>
  </si>
  <si>
    <t>X2</t>
  </si>
  <si>
    <t>X3</t>
  </si>
  <si>
    <t>X4</t>
  </si>
  <si>
    <t>ВЫВОД ИТОГОВ</t>
  </si>
  <si>
    <t>Регрессионная статистика</t>
  </si>
  <si>
    <t>Множественный R</t>
  </si>
  <si>
    <t>R-квадрат</t>
  </si>
  <si>
    <t>Нормированный R-квадрат</t>
  </si>
  <si>
    <t>Стандартная ошибка</t>
  </si>
  <si>
    <t>Наблюдения</t>
  </si>
  <si>
    <t>Дисперсионный анализ</t>
  </si>
  <si>
    <t>Регрессия</t>
  </si>
  <si>
    <t>Остаток</t>
  </si>
  <si>
    <t>Итого</t>
  </si>
  <si>
    <t>Y-пересечение</t>
  </si>
  <si>
    <t>df</t>
  </si>
  <si>
    <t>SS</t>
  </si>
  <si>
    <t>MS</t>
  </si>
  <si>
    <t>F</t>
  </si>
  <si>
    <t>Значимость F</t>
  </si>
  <si>
    <t>Коэффициенты</t>
  </si>
  <si>
    <t>t-статистика</t>
  </si>
  <si>
    <t>P-Значение</t>
  </si>
  <si>
    <t>Нижние 95%</t>
  </si>
  <si>
    <t>Верхние 95%</t>
  </si>
  <si>
    <t>Нижние 95,0%</t>
  </si>
  <si>
    <t>Верхние 95,0%</t>
  </si>
  <si>
    <t>ВЫВОД ОСТАТКА</t>
  </si>
  <si>
    <t>Наблюдение</t>
  </si>
  <si>
    <t>Предсказанное Y</t>
  </si>
  <si>
    <t>Остатки</t>
  </si>
  <si>
    <t>F(tab)</t>
  </si>
  <si>
    <t>F(факт)</t>
  </si>
  <si>
    <t>&lt;</t>
  </si>
  <si>
    <t>t(факт)</t>
  </si>
  <si>
    <t>t(tab)</t>
  </si>
  <si>
    <t>&gt;</t>
  </si>
  <si>
    <t xml:space="preserve">С вероятностью 0,95 можно утверждать, что уравнение регрессии значимо. Модель достоверна.				</t>
  </si>
  <si>
    <t>С вероятностью 0,95 можно утверждать, что уравнение регрессии значимо. Модель достоверна.</t>
  </si>
  <si>
    <t>Средняя ошибка аппроксимации:</t>
  </si>
  <si>
    <t>|(Y-предсказ)/Y|*100</t>
  </si>
  <si>
    <t>С вероятностью 0,95 можно утверждать, что уравнение значимо. Коэффициенты при X1, X2, X3 значимы.</t>
  </si>
  <si>
    <t>С вероятностью 0,95 можно утверждать, что уравнение значимо. Коэффициенты при X1, X2, X3, X4 значимы.</t>
  </si>
  <si>
    <t>С вероятностью 0,95 коэффициенты при X1, X2 и свободный член статистически значимы.</t>
  </si>
  <si>
    <t>Показатель</t>
  </si>
  <si>
    <t>Модель 1</t>
  </si>
  <si>
    <t>Модель 2</t>
  </si>
  <si>
    <t>Модель 3</t>
  </si>
  <si>
    <t>Норм. R-квадрат</t>
  </si>
  <si>
    <t>Средняя ошибка аппроксимации</t>
  </si>
  <si>
    <t>Значимые коэф.</t>
  </si>
  <si>
    <t>Незначимые коэф.</t>
  </si>
  <si>
    <t>Вывод:</t>
  </si>
  <si>
    <t>Y-пересеч., X1, X2</t>
  </si>
  <si>
    <t>-</t>
  </si>
  <si>
    <t>Уравнение значимо</t>
  </si>
  <si>
    <t>X1, X2, X3</t>
  </si>
  <si>
    <t>Y-пересеч.</t>
  </si>
  <si>
    <t>X1, X2, X3, X4</t>
  </si>
  <si>
    <t>Коэффициент детерминации R^2 = 0,8687 показывает, что на 86,87% вариация оборота розничной торговли на душу населения объясняется вариацией инвестиций в основной капитал на душу населения, объёма строительных работ, индекса промышленного производства и грузооборота транспорта. Остальные 13,13% связаны с прочими неучтёнными факторами.</t>
  </si>
  <si>
    <t>Коэффициент детерминации R^2 = 0,8632 показывает, что на 86,32% вариация оборота розничной торговли на душу населения объясняется вариацией инвестиций в основной капитал на душу населения, объёма строительных работ и индекса промышленного производства. Остальные 13,68% связаны с прочими неучтёнными факторами.</t>
  </si>
  <si>
    <t>Коэффициент детерминации R^2 = 0,8584 показывает, что на 85,84% вариация оборота розничной торговли на душу населения объясняется вариацией инвестиций в основной капитал на душу населения и объёма строительных работ. Остальные 14,16% связаны с прочими неучтёнными факторами.</t>
  </si>
  <si>
    <t>Лучшая модель - модель 3. Она имеет наибольший R^2 = 0,8687, наибольший нормированный R^2 = 0,8655, наименьшую стандартную ошибку = 25 083,54 и наименьшую среднюю ошибку аппроксимации = 8,95%. Все коэффициенты при факторах (X1, X2, X3, X4) значимы. Свободный член незначим. Коэффициент детерминации R^2 показывает, что модель объясняет около 86,87% вариации оборота розничной торговли на душу населения, остальные 13,13% связаны с прочими неучтёнными факторами.</t>
  </si>
  <si>
    <t>Цель работы достигнута. Построены три модели множественной регрессии. Наиболее сильное положительное влияние на оборот розничной торговли на душу населения оказывают инвестиции в основной капитал на душу населения (коэффициент около 1,26-1,31). Также значимы объём строительных работ (около 0,35), индекс промышленного производства (около 1509-1578) и грузооборот транспорта (около 0,10). Индекс производства сельского хозяйства исключён из моделей из-за отсутствия значимой связи с Y (r = −0,023).</t>
  </si>
  <si>
    <t>Лучшая модель - модель 3: R^2 = 0,8687, нормированный R^2 = 0,8655, стандартная ошибка = 25 083,54, средняя ошибка аппроксимации = 8,95%. Все коэффициенты при факторах значимы, свободный член незначим.</t>
  </si>
  <si>
    <r>
      <rPr>
        <b/>
        <sz val="12"/>
        <color theme="1"/>
        <rFont val="Calibri"/>
        <family val="2"/>
        <scheme val="minor"/>
      </rPr>
      <t xml:space="preserve">Цель: </t>
    </r>
    <r>
      <rPr>
        <sz val="12"/>
        <color theme="1"/>
        <rFont val="Calibri"/>
        <family val="2"/>
        <charset val="204"/>
        <scheme val="minor"/>
      </rPr>
      <t>оценить влияние инвестиций в основной капитал, объёма строительных работ, индекса промышленного производства и грузооборота транспорта на оборот розничной торговли на душу населения в регионах РФ в 2013-2024 гг.</t>
    </r>
  </si>
  <si>
    <t>Задачи:</t>
  </si>
  <si>
    <t>Сформулировать выводы</t>
  </si>
  <si>
    <t>Выбрать лучшую модель и обосновать выбор</t>
  </si>
  <si>
    <t>Рассчитать среднюю ошибку аппроксимации</t>
  </si>
  <si>
    <t>Проверить значимость уравнений и коэффициентов</t>
  </si>
  <si>
    <t>Построить 3 моделей и более множественной регрессии</t>
  </si>
  <si>
    <t>Провести корреляционный анализ и отобрать факторы</t>
  </si>
  <si>
    <t>Собрать панель данных (минимум 150 наблюдений, минимум 8 признаков)</t>
  </si>
  <si>
    <t>Исследовательские вопросы:</t>
  </si>
  <si>
    <t>Связан ли рост инвестиций на душу населения с ростом розничного товарооборота?
Влияет ли объём строительных работ на Y?
Значим ли индекс промышленного производства?
Влияет ли грузооборот транспорта на Y?
Какая модель лучше объясняет вариацию Y?</t>
  </si>
  <si>
    <t>Уравнение регрессии:</t>
  </si>
  <si>
    <t>Y = 69224,75 + 1,3055X1 + 0,3517X2</t>
  </si>
  <si>
    <t>X1 = 1,3055. При увеличении инвестиций в основной капитал на душу населения на 1 руб. оборот розничной торговли на душу населения в среднем увеличивается на 1,31 руб. при неизменном объёме строительных работ. При росте инвестиций на 10 тыс. руб. Y возрастает в среднем на 13,06 тыс. руб.</t>
  </si>
  <si>
    <t>X2 = 0,3517. При увеличении объёма строительных работ на 1 млн руб. оборот розничной торговли на душу населения в среднем увеличивается на 0,35 руб. при неизменных инвестициях. При росте объёма строительных работ на 100 млн руб. Y возрастает в среднем на 35,17 руб.</t>
  </si>
  <si>
    <t>X1 = 1,2956. При увеличении инвестиций в основной капитал на душу населения на 1 руб. Y в среднем растёт на 1,30 руб. при неизменных объёме строительных работ и индексе промышленного производства. При росте инвестиций на 10 тыс. руб. Y возрастает в среднем на 12,96 тыс. руб.</t>
  </si>
  <si>
    <t>X2 = 0,3547. При увеличении объёма строительных работ на 1 млн руб. Y в среднем растёт на 0,35 руб. при прочих равных. При росте на 100 млн руб. Y возрастает на 35,47 руб.</t>
  </si>
  <si>
    <t>X3 = 1577,78. При увеличении индекса промышленного производства на 1 п.п. Y в среднем растёт на 1577,78 руб. Например, при росте индекса с 100% до 105% (на 5 п.п.) Y возрастает в среднем на 7888,90 руб.</t>
  </si>
  <si>
    <t>Где:
Y - оборот розничной торговли на душу населения, руб.
X1 - инвестиции в основной капитал на душу населения, руб.
X2 - объём строительных работ, млн руб.</t>
  </si>
  <si>
    <t>Где:
Y - оборот розничной торговли на душу населения, руб.
X1 - инвестиции в основной капитал на душу населения, руб.
X2 - объём строительных работ, млн руб.
X3 - индекс промышленного производства,% (год к году)</t>
  </si>
  <si>
    <t>Y = -87898,95042 + 1,2564X1 + 0,3451X2 + 1509,3475X3 + 0,1023X4</t>
  </si>
  <si>
    <t>Где:
Y - оборот розничной торговли на душу населения, руб.
X1 - инвестиции в основной капитал на душу населения, руб.
X2 - объём строительных работ, млн руб.
X3 - индекс промышленного производства,% (год к году)
X4 - грузооборот транспорта, млн т-км</t>
  </si>
  <si>
    <t>X1 = 1,2564. При увеличении инвестиций в основной капитал на душу населения на 1 руб. Y в среднем растёт на 1,26 руб. при неизменных остальных факторах. При росте инвестиций на 10 тыс. руб. Y возрастает в среднем на 12,56 тыс. руб.</t>
  </si>
  <si>
    <t>X2 = 0,3451. При увеличении объёма строительных работ на 1 млн руб. Y в среднем растёт на 0,35 руб. при прочих равных. При росте на 100 млн руб. Y возрастает на 34,51 руб.</t>
  </si>
  <si>
    <t>X3 = 1509,35. При увеличении индекса промышленного производства на 1 п.п. Y в среднем растёт на 1509,35 руб. при неизменных остальных факторах. При росте индекса на 3 п.п. Y возрастает в среднем на 4528,05 руб.</t>
  </si>
  <si>
    <t>X4 = 0,1023. При увеличении грузооборота транспорта на 1 млн т-км Y в среднем растёт на 0,10 руб. при прочих равных. При росте грузооборота на 100 млн т-км Y возрастает в среднем на 10,23 руб. Влияние слабое по величине, но статистически значимое (p = 0,0098).</t>
  </si>
  <si>
    <t>Y = -91213,51 + 1,2956X1 + 0,3547X2 + 1577,78X3</t>
  </si>
  <si>
    <t>Наиболее сильное и устойчивое влияние на Y оказывают инвестиции в основной капитал - коэффициент при X1 колеблется в диапазоне 1,26-1,31 и значим во всех моделях. Объём строительных работ даёт стабильный коэффициент около 0,35. Индекс промышленного производства и грузооборот транспорта значимы, но их вклад меньше.</t>
  </si>
  <si>
    <t>Основные результаты:</t>
  </si>
  <si>
    <t>Лучшая модель:</t>
  </si>
  <si>
    <t>Ограничения:</t>
  </si>
  <si>
    <t xml:space="preserve">Ответы на исследовательские вопросы:  </t>
  </si>
  <si>
    <t>1) рост инвестиций на душу населения значимо связан с ростом розничного товарооборота (r = 0,904, коэффициент значим при p &lt; 0,001); 2) объём строительных работ значимо влияет на Y (p &lt; 0,001); 3) индекс промышленного производства значим, но слабее (p = 0,021); 4) грузооборот транспорта значим слабо (p = 0,0098); 5) лучшая модель - модель 3, объясняющая 86,87% вариации Y</t>
  </si>
  <si>
    <t>Все 168 наблюдений рассматривались как независимые, без учёта того, что они относятся к 14 регионам за 12 лет. Это может завышать t-статистики и значимость коэффициентов.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</si>
</sst>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22" x14ac:knownFonts="1">
    <font>
      <sz val="12"/>
      <color theme="1"/>
      <name val="Calibri"/>
      <family val="2"/>
      <charset val="204"/>
      <scheme val="minor"/>
    </font>
    <font>
      <sz val="12"/>
      <color theme="1"/>
      <name val="Calibri"/>
      <family val="2"/>
      <charset val="204"/>
      <scheme val="minor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i/>
      <sz val="12"/>
      <color theme="1"/>
      <name val="Calibri"/>
      <family val="2"/>
      <charset val="204"/>
      <scheme val="minor"/>
    </font>
    <font>
      <b/>
      <sz val="10"/>
      <color rgb="FF000000"/>
      <name val="Times New Roman"/>
      <family val="1"/>
    </font>
    <font>
      <sz val="10"/>
      <color rgb="FF000000"/>
      <name val="Times New Roman"/>
      <family val="1"/>
    </font>
    <font>
      <sz val="11"/>
      <color rgb="FF000000"/>
      <name val="Calibri"/>
      <family val="2"/>
      <charset val="204"/>
      <scheme val="minor"/>
    </font>
    <font>
      <sz val="10"/>
      <color theme="1"/>
      <name val="Calibri"/>
      <family val="2"/>
      <charset val="204"/>
      <scheme val="minor"/>
    </font>
    <font>
      <b/>
      <sz val="12"/>
      <color theme="1"/>
      <name val="Calibri"/>
      <family val="2"/>
      <scheme val="minor"/>
    </font>
    <font>
      <sz val="12"/>
      <color rgb="FF000000"/>
      <name val="Calibri"/>
      <family val="2"/>
      <charset val="204"/>
      <scheme val="minor"/>
    </font>
    <font>
      <sz val="10"/>
      <color rgb="FF000000"/>
      <name val="Calibri"/>
      <family val="2"/>
      <charset val="204"/>
      <scheme val="minor"/>
    </font>
    <font>
      <b/>
      <sz val="12"/>
      <color rgb="FF000000"/>
      <name val="Calibri"/>
      <family val="2"/>
      <scheme val="minor"/>
    </font>
    <font>
      <i/>
      <sz val="12"/>
      <color rgb="FF000000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8"/>
      <color theme="1"/>
      <name val="Calibri"/>
      <family val="2"/>
      <charset val="204"/>
      <scheme val="minor"/>
    </font>
    <font>
      <sz val="12"/>
      <color theme="1"/>
      <name val="Calibri"/>
      <family val="2"/>
      <scheme val="minor"/>
    </font>
    <font>
      <sz val="8.5"/>
      <color theme="1"/>
      <name val="Calibri"/>
      <family val="2"/>
      <charset val="204"/>
      <scheme val="minor"/>
    </font>
    <font>
      <sz val="8.5"/>
      <color rgb="FF000000"/>
      <name val="Calibri"/>
      <family val="2"/>
      <charset val="204"/>
      <scheme val="minor"/>
    </font>
    <font>
      <sz val="8"/>
      <color rgb="FF000000"/>
      <name val="Calibri"/>
      <family val="2"/>
      <charset val="204"/>
      <scheme val="minor"/>
    </font>
    <font>
      <i/>
      <sz val="11"/>
      <color rgb="FF000000"/>
      <name val="Calibri"/>
      <family val="2"/>
      <charset val="204"/>
      <scheme val="minor"/>
    </font>
    <font>
      <i/>
      <sz val="8"/>
      <color rgb="FF000000"/>
      <name val="Calibri"/>
      <family val="2"/>
      <charset val="204"/>
      <scheme val="minor"/>
    </font>
  </fonts>
  <fills count="16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DDEBF7"/>
        <bgColor rgb="FF000000"/>
      </patternFill>
    </fill>
    <fill>
      <patternFill patternType="solid">
        <fgColor rgb="FFE2EFDA"/>
        <bgColor rgb="FF000000"/>
      </patternFill>
    </fill>
    <fill>
      <patternFill patternType="solid">
        <fgColor theme="5" tint="0.79998168889431442"/>
        <bgColor rgb="FF000000"/>
      </patternFill>
    </fill>
    <fill>
      <patternFill patternType="solid">
        <fgColor rgb="FFD9E1F2"/>
        <bgColor rgb="FF000000"/>
      </patternFill>
    </fill>
    <fill>
      <patternFill patternType="solid">
        <fgColor rgb="FFFCE4D6"/>
        <bgColor rgb="FF000000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D0CECE"/>
        <bgColor rgb="FF000000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D6DCE4"/>
        <bgColor rgb="FF000000"/>
      </patternFill>
    </fill>
    <fill>
      <patternFill patternType="solid">
        <fgColor theme="3" tint="0.39997558519241921"/>
        <bgColor indexed="64"/>
      </patternFill>
    </fill>
  </fills>
  <borders count="5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/>
      <diagonal/>
    </border>
    <border>
      <left/>
      <right style="medium">
        <color rgb="FF000000"/>
      </right>
      <top/>
      <bottom/>
      <diagonal/>
    </border>
    <border>
      <left style="medium">
        <color indexed="64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26">
    <xf numFmtId="0" fontId="0" fillId="0" borderId="0" xfId="0"/>
    <xf numFmtId="0" fontId="2" fillId="0" borderId="2" xfId="0" applyFont="1" applyBorder="1" applyAlignment="1">
      <alignment horizontal="center" vertical="center" wrapText="1"/>
    </xf>
    <xf numFmtId="0" fontId="3" fillId="0" borderId="8" xfId="0" applyFont="1" applyBorder="1" applyAlignment="1">
      <alignment wrapText="1"/>
    </xf>
    <xf numFmtId="0" fontId="3" fillId="0" borderId="9" xfId="0" applyFont="1" applyBorder="1" applyAlignment="1">
      <alignment wrapText="1"/>
    </xf>
    <xf numFmtId="3" fontId="3" fillId="0" borderId="9" xfId="0" applyNumberFormat="1" applyFont="1" applyBorder="1" applyAlignment="1">
      <alignment wrapText="1"/>
    </xf>
    <xf numFmtId="3" fontId="3" fillId="0" borderId="11" xfId="0" applyNumberFormat="1" applyFont="1" applyBorder="1" applyAlignment="1">
      <alignment wrapText="1"/>
    </xf>
    <xf numFmtId="0" fontId="3" fillId="0" borderId="3" xfId="0" applyFont="1" applyBorder="1" applyAlignment="1">
      <alignment wrapText="1"/>
    </xf>
    <xf numFmtId="0" fontId="3" fillId="0" borderId="1" xfId="0" applyFont="1" applyBorder="1" applyAlignment="1">
      <alignment wrapText="1"/>
    </xf>
    <xf numFmtId="3" fontId="3" fillId="0" borderId="1" xfId="0" applyNumberFormat="1" applyFont="1" applyBorder="1" applyAlignment="1">
      <alignment wrapText="1"/>
    </xf>
    <xf numFmtId="3" fontId="3" fillId="0" borderId="4" xfId="0" applyNumberFormat="1" applyFont="1" applyBorder="1" applyAlignment="1">
      <alignment wrapText="1"/>
    </xf>
    <xf numFmtId="0" fontId="3" fillId="0" borderId="5" xfId="0" applyFont="1" applyBorder="1" applyAlignment="1">
      <alignment wrapText="1"/>
    </xf>
    <xf numFmtId="0" fontId="3" fillId="0" borderId="6" xfId="0" applyFont="1" applyBorder="1" applyAlignment="1">
      <alignment wrapText="1"/>
    </xf>
    <xf numFmtId="3" fontId="3" fillId="0" borderId="6" xfId="0" applyNumberFormat="1" applyFont="1" applyBorder="1" applyAlignment="1">
      <alignment wrapText="1"/>
    </xf>
    <xf numFmtId="3" fontId="3" fillId="0" borderId="7" xfId="0" applyNumberFormat="1" applyFont="1" applyBorder="1" applyAlignment="1">
      <alignment wrapText="1"/>
    </xf>
    <xf numFmtId="0" fontId="3" fillId="0" borderId="9" xfId="0" applyFont="1" applyBorder="1" applyAlignment="1">
      <alignment horizontal="center" wrapText="1"/>
    </xf>
    <xf numFmtId="0" fontId="3" fillId="0" borderId="1" xfId="0" applyFont="1" applyBorder="1" applyAlignment="1">
      <alignment horizontal="center" wrapText="1"/>
    </xf>
    <xf numFmtId="0" fontId="3" fillId="0" borderId="6" xfId="0" applyFont="1" applyBorder="1" applyAlignment="1">
      <alignment horizontal="center" wrapText="1"/>
    </xf>
    <xf numFmtId="0" fontId="0" fillId="0" borderId="0" xfId="0" applyFill="1" applyBorder="1" applyAlignment="1"/>
    <xf numFmtId="0" fontId="0" fillId="0" borderId="12" xfId="0" applyFill="1" applyBorder="1" applyAlignment="1"/>
    <xf numFmtId="0" fontId="4" fillId="0" borderId="10" xfId="0" applyFont="1" applyFill="1" applyBorder="1" applyAlignment="1">
      <alignment horizontal="center"/>
    </xf>
    <xf numFmtId="0" fontId="4" fillId="0" borderId="10" xfId="0" applyFont="1" applyFill="1" applyBorder="1" applyAlignment="1">
      <alignment horizontal="center" vertical="center" wrapText="1"/>
    </xf>
    <xf numFmtId="0" fontId="0" fillId="0" borderId="0" xfId="0" applyFill="1" applyBorder="1" applyAlignment="1">
      <alignment horizontal="center" vertical="center"/>
    </xf>
    <xf numFmtId="2" fontId="0" fillId="0" borderId="0" xfId="0" applyNumberFormat="1" applyFill="1" applyBorder="1" applyAlignment="1">
      <alignment horizontal="center" vertical="center"/>
    </xf>
    <xf numFmtId="2" fontId="0" fillId="0" borderId="12" xfId="0" applyNumberFormat="1" applyFill="1" applyBorder="1" applyAlignment="1">
      <alignment horizontal="center" vertical="center"/>
    </xf>
    <xf numFmtId="0" fontId="5" fillId="0" borderId="2" xfId="0" applyFont="1" applyBorder="1" applyAlignment="1">
      <alignment horizontal="center" vertical="center" wrapText="1"/>
    </xf>
    <xf numFmtId="0" fontId="5" fillId="0" borderId="13" xfId="0" applyFont="1" applyBorder="1" applyAlignment="1">
      <alignment horizontal="center" vertical="center" wrapText="1"/>
    </xf>
    <xf numFmtId="0" fontId="4" fillId="0" borderId="10" xfId="0" applyFont="1" applyFill="1" applyBorder="1" applyAlignment="1">
      <alignment horizontal="centerContinuous"/>
    </xf>
    <xf numFmtId="9" fontId="0" fillId="0" borderId="0" xfId="1" applyFont="1"/>
    <xf numFmtId="0" fontId="0" fillId="2" borderId="18" xfId="0" applyFill="1" applyBorder="1" applyAlignment="1">
      <alignment horizontal="center" vertical="center"/>
    </xf>
    <xf numFmtId="2" fontId="0" fillId="2" borderId="13" xfId="0" applyNumberFormat="1" applyFill="1" applyBorder="1" applyAlignment="1">
      <alignment horizontal="center" vertical="center"/>
    </xf>
    <xf numFmtId="2" fontId="0" fillId="3" borderId="18" xfId="0" applyNumberFormat="1" applyFill="1" applyBorder="1" applyAlignment="1">
      <alignment horizontal="center" vertical="center"/>
    </xf>
    <xf numFmtId="0" fontId="0" fillId="3" borderId="13" xfId="0" applyFill="1" applyBorder="1" applyAlignment="1">
      <alignment horizontal="center" vertical="center"/>
    </xf>
    <xf numFmtId="0" fontId="0" fillId="4" borderId="2" xfId="0" applyFill="1" applyBorder="1" applyAlignment="1">
      <alignment horizontal="center" vertical="center"/>
    </xf>
    <xf numFmtId="0" fontId="7" fillId="5" borderId="21" xfId="0" applyFont="1" applyFill="1" applyBorder="1" applyAlignment="1">
      <alignment horizontal="right"/>
    </xf>
    <xf numFmtId="2" fontId="7" fillId="5" borderId="16" xfId="0" applyNumberFormat="1" applyFont="1" applyFill="1" applyBorder="1" applyAlignment="1">
      <alignment horizontal="center" vertical="center"/>
    </xf>
    <xf numFmtId="2" fontId="7" fillId="6" borderId="16" xfId="0" applyNumberFormat="1" applyFont="1" applyFill="1" applyBorder="1" applyAlignment="1">
      <alignment horizontal="center" vertical="center"/>
    </xf>
    <xf numFmtId="0" fontId="7" fillId="6" borderId="17" xfId="0" applyFont="1" applyFill="1" applyBorder="1"/>
    <xf numFmtId="2" fontId="7" fillId="5" borderId="12" xfId="0" applyNumberFormat="1" applyFont="1" applyFill="1" applyBorder="1" applyAlignment="1">
      <alignment horizontal="center" vertical="center"/>
    </xf>
    <xf numFmtId="3" fontId="6" fillId="0" borderId="9" xfId="0" applyNumberFormat="1" applyFont="1" applyBorder="1" applyAlignment="1">
      <alignment horizontal="center" vertical="center" wrapText="1"/>
    </xf>
    <xf numFmtId="3" fontId="6" fillId="0" borderId="14" xfId="0" applyNumberFormat="1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12" xfId="0" applyFill="1" applyBorder="1" applyAlignment="1">
      <alignment horizontal="center" vertical="center"/>
    </xf>
    <xf numFmtId="0" fontId="7" fillId="7" borderId="16" xfId="0" applyFont="1" applyFill="1" applyBorder="1" applyAlignment="1">
      <alignment horizontal="center" vertical="center"/>
    </xf>
    <xf numFmtId="0" fontId="7" fillId="7" borderId="15" xfId="0" applyFont="1" applyFill="1" applyBorder="1" applyAlignment="1">
      <alignment horizontal="center" vertical="center"/>
    </xf>
    <xf numFmtId="0" fontId="9" fillId="0" borderId="0" xfId="0" applyFont="1" applyAlignment="1">
      <alignment horizontal="right"/>
    </xf>
    <xf numFmtId="0" fontId="10" fillId="0" borderId="0" xfId="0" applyFont="1"/>
    <xf numFmtId="3" fontId="6" fillId="0" borderId="9" xfId="0" applyNumberFormat="1" applyFont="1" applyBorder="1" applyAlignment="1">
      <alignment horizontal="center" wrapText="1"/>
    </xf>
    <xf numFmtId="3" fontId="6" fillId="0" borderId="14" xfId="0" applyNumberFormat="1" applyFont="1" applyBorder="1" applyAlignment="1">
      <alignment horizontal="center" wrapText="1"/>
    </xf>
    <xf numFmtId="3" fontId="6" fillId="0" borderId="15" xfId="0" applyNumberFormat="1" applyFont="1" applyBorder="1" applyAlignment="1">
      <alignment horizontal="center" wrapText="1"/>
    </xf>
    <xf numFmtId="3" fontId="6" fillId="0" borderId="16" xfId="0" applyNumberFormat="1" applyFont="1" applyBorder="1" applyAlignment="1">
      <alignment horizontal="center" wrapText="1"/>
    </xf>
    <xf numFmtId="0" fontId="6" fillId="0" borderId="9" xfId="0" applyFont="1" applyBorder="1" applyAlignment="1">
      <alignment horizontal="center" vertical="center" wrapText="1"/>
    </xf>
    <xf numFmtId="3" fontId="6" fillId="0" borderId="15" xfId="0" applyNumberFormat="1" applyFont="1" applyBorder="1" applyAlignment="1">
      <alignment horizontal="center" vertical="center" wrapText="1"/>
    </xf>
    <xf numFmtId="3" fontId="6" fillId="0" borderId="16" xfId="0" applyNumberFormat="1" applyFont="1" applyBorder="1" applyAlignment="1">
      <alignment horizontal="center" vertical="center" wrapText="1"/>
    </xf>
    <xf numFmtId="0" fontId="6" fillId="0" borderId="15" xfId="0" applyFont="1" applyBorder="1" applyAlignment="1">
      <alignment horizontal="center" vertical="center" wrapText="1"/>
    </xf>
    <xf numFmtId="0" fontId="10" fillId="0" borderId="0" xfId="0" applyFont="1" applyAlignment="1">
      <alignment horizontal="center" vertical="center"/>
    </xf>
    <xf numFmtId="0" fontId="10" fillId="8" borderId="22" xfId="0" applyFont="1" applyFill="1" applyBorder="1" applyAlignment="1">
      <alignment horizontal="center" vertical="center"/>
    </xf>
    <xf numFmtId="2" fontId="10" fillId="8" borderId="17" xfId="0" applyNumberFormat="1" applyFont="1" applyFill="1" applyBorder="1" applyAlignment="1">
      <alignment horizontal="center" vertical="center"/>
    </xf>
    <xf numFmtId="0" fontId="10" fillId="6" borderId="17" xfId="0" applyFont="1" applyFill="1" applyBorder="1" applyAlignment="1">
      <alignment horizontal="center" vertical="center"/>
    </xf>
    <xf numFmtId="2" fontId="10" fillId="9" borderId="12" xfId="0" applyNumberFormat="1" applyFont="1" applyFill="1" applyBorder="1" applyAlignment="1">
      <alignment horizontal="center" vertical="center"/>
    </xf>
    <xf numFmtId="0" fontId="10" fillId="9" borderId="17" xfId="0" applyFont="1" applyFill="1" applyBorder="1" applyAlignment="1">
      <alignment horizontal="center" vertical="center"/>
    </xf>
    <xf numFmtId="0" fontId="12" fillId="0" borderId="0" xfId="0" applyFont="1" applyAlignment="1">
      <alignment horizontal="right"/>
    </xf>
    <xf numFmtId="0" fontId="7" fillId="9" borderId="16" xfId="0" applyFont="1" applyFill="1" applyBorder="1" applyAlignment="1">
      <alignment horizontal="center" vertical="center"/>
    </xf>
    <xf numFmtId="0" fontId="7" fillId="9" borderId="15" xfId="0" applyFont="1" applyFill="1" applyBorder="1" applyAlignment="1">
      <alignment horizontal="center" vertical="center"/>
    </xf>
    <xf numFmtId="0" fontId="6" fillId="0" borderId="14" xfId="0" applyFont="1" applyBorder="1" applyAlignment="1">
      <alignment horizontal="center" vertical="center" wrapText="1"/>
    </xf>
    <xf numFmtId="0" fontId="6" fillId="0" borderId="16" xfId="0" applyFont="1" applyBorder="1" applyAlignment="1">
      <alignment horizontal="center" vertical="center" wrapText="1"/>
    </xf>
    <xf numFmtId="3" fontId="6" fillId="0" borderId="11" xfId="0" applyNumberFormat="1" applyFont="1" applyBorder="1" applyAlignment="1">
      <alignment horizontal="center" vertical="center" wrapText="1"/>
    </xf>
    <xf numFmtId="3" fontId="6" fillId="0" borderId="23" xfId="0" applyNumberFormat="1" applyFont="1" applyBorder="1" applyAlignment="1">
      <alignment horizontal="center" vertical="center" wrapText="1"/>
    </xf>
    <xf numFmtId="9" fontId="0" fillId="10" borderId="0" xfId="1" applyFont="1" applyFill="1"/>
    <xf numFmtId="0" fontId="0" fillId="0" borderId="0" xfId="0" applyBorder="1"/>
    <xf numFmtId="0" fontId="0" fillId="0" borderId="12" xfId="0" applyBorder="1"/>
    <xf numFmtId="0" fontId="0" fillId="0" borderId="24" xfId="0" applyBorder="1"/>
    <xf numFmtId="0" fontId="7" fillId="5" borderId="16" xfId="0" applyFont="1" applyFill="1" applyBorder="1" applyAlignment="1">
      <alignment horizontal="right"/>
    </xf>
    <xf numFmtId="0" fontId="9" fillId="0" borderId="0" xfId="0" applyFont="1" applyBorder="1" applyAlignment="1">
      <alignment horizontal="right"/>
    </xf>
    <xf numFmtId="2" fontId="0" fillId="4" borderId="13" xfId="0" applyNumberFormat="1" applyFill="1" applyBorder="1"/>
    <xf numFmtId="0" fontId="13" fillId="0" borderId="10" xfId="0" applyFont="1" applyBorder="1" applyAlignment="1">
      <alignment horizontal="center"/>
    </xf>
    <xf numFmtId="0" fontId="9" fillId="0" borderId="2" xfId="0" applyFont="1" applyBorder="1" applyAlignment="1">
      <alignment horizontal="center"/>
    </xf>
    <xf numFmtId="0" fontId="10" fillId="0" borderId="28" xfId="0" applyFont="1" applyBorder="1"/>
    <xf numFmtId="0" fontId="10" fillId="0" borderId="29" xfId="0" applyFont="1" applyBorder="1"/>
    <xf numFmtId="0" fontId="0" fillId="0" borderId="29" xfId="0" applyBorder="1" applyAlignment="1">
      <alignment horizontal="center"/>
    </xf>
    <xf numFmtId="10" fontId="0" fillId="0" borderId="29" xfId="0" applyNumberFormat="1" applyBorder="1" applyAlignment="1">
      <alignment horizontal="center"/>
    </xf>
    <xf numFmtId="0" fontId="0" fillId="0" borderId="30" xfId="0" applyBorder="1" applyAlignment="1">
      <alignment horizontal="center"/>
    </xf>
    <xf numFmtId="0" fontId="10" fillId="0" borderId="32" xfId="0" applyFont="1" applyBorder="1"/>
    <xf numFmtId="0" fontId="10" fillId="0" borderId="33" xfId="0" applyFont="1" applyBorder="1"/>
    <xf numFmtId="0" fontId="10" fillId="0" borderId="34" xfId="0" applyFont="1" applyBorder="1"/>
    <xf numFmtId="0" fontId="9" fillId="0" borderId="35" xfId="0" applyFont="1" applyBorder="1" applyAlignment="1">
      <alignment horizontal="center"/>
    </xf>
    <xf numFmtId="0" fontId="10" fillId="0" borderId="28" xfId="0" applyFont="1" applyBorder="1" applyAlignment="1">
      <alignment horizontal="center"/>
    </xf>
    <xf numFmtId="0" fontId="10" fillId="0" borderId="29" xfId="0" applyFont="1" applyBorder="1" applyAlignment="1">
      <alignment horizontal="center"/>
    </xf>
    <xf numFmtId="0" fontId="10" fillId="0" borderId="31" xfId="0" applyFont="1" applyBorder="1"/>
    <xf numFmtId="0" fontId="10" fillId="0" borderId="36" xfId="0" applyFont="1" applyBorder="1"/>
    <xf numFmtId="10" fontId="0" fillId="0" borderId="36" xfId="0" applyNumberFormat="1" applyBorder="1" applyAlignment="1">
      <alignment horizontal="center"/>
    </xf>
    <xf numFmtId="0" fontId="0" fillId="0" borderId="36" xfId="0" applyBorder="1" applyAlignment="1">
      <alignment horizontal="center"/>
    </xf>
    <xf numFmtId="0" fontId="0" fillId="0" borderId="37" xfId="0" applyBorder="1" applyAlignment="1">
      <alignment horizontal="center"/>
    </xf>
    <xf numFmtId="0" fontId="0" fillId="0" borderId="0" xfId="0" applyAlignment="1"/>
    <xf numFmtId="0" fontId="0" fillId="0" borderId="25" xfId="0" applyBorder="1" applyAlignment="1"/>
    <xf numFmtId="0" fontId="0" fillId="0" borderId="3" xfId="0" applyBorder="1" applyAlignment="1"/>
    <xf numFmtId="0" fontId="0" fillId="0" borderId="5" xfId="0" applyBorder="1" applyAlignment="1"/>
    <xf numFmtId="0" fontId="4" fillId="0" borderId="0" xfId="0" applyFont="1" applyFill="1" applyBorder="1" applyAlignment="1">
      <alignment horizontal="center"/>
    </xf>
    <xf numFmtId="2" fontId="10" fillId="0" borderId="0" xfId="0" applyNumberFormat="1" applyFont="1"/>
    <xf numFmtId="164" fontId="10" fillId="0" borderId="0" xfId="0" applyNumberFormat="1" applyFont="1" applyBorder="1"/>
    <xf numFmtId="0" fontId="10" fillId="0" borderId="0" xfId="0" applyFont="1" applyBorder="1"/>
    <xf numFmtId="0" fontId="0" fillId="0" borderId="1" xfId="0" applyBorder="1" applyAlignment="1">
      <alignment horizontal="left" vertical="center"/>
    </xf>
    <xf numFmtId="0" fontId="0" fillId="0" borderId="4" xfId="0" applyBorder="1" applyAlignment="1">
      <alignment horizontal="left" vertical="center"/>
    </xf>
    <xf numFmtId="0" fontId="16" fillId="2" borderId="38" xfId="0" applyFont="1" applyFill="1" applyBorder="1" applyAlignment="1">
      <alignment horizontal="center" vertical="center" wrapText="1"/>
    </xf>
    <xf numFmtId="0" fontId="0" fillId="2" borderId="39" xfId="0" applyFill="1" applyBorder="1" applyAlignment="1">
      <alignment horizontal="center" vertical="center" wrapText="1"/>
    </xf>
    <xf numFmtId="0" fontId="0" fillId="2" borderId="40" xfId="0" applyFill="1" applyBorder="1" applyAlignment="1">
      <alignment horizontal="center" vertical="center" wrapText="1"/>
    </xf>
    <xf numFmtId="0" fontId="0" fillId="2" borderId="41" xfId="0" applyFill="1" applyBorder="1" applyAlignment="1">
      <alignment horizontal="center" vertical="center" wrapText="1"/>
    </xf>
    <xf numFmtId="0" fontId="0" fillId="2" borderId="0" xfId="0" applyFill="1" applyBorder="1" applyAlignment="1">
      <alignment horizontal="center" vertical="center" wrapText="1"/>
    </xf>
    <xf numFmtId="0" fontId="0" fillId="2" borderId="42" xfId="0" applyFill="1" applyBorder="1" applyAlignment="1">
      <alignment horizontal="center" vertical="center" wrapText="1"/>
    </xf>
    <xf numFmtId="0" fontId="0" fillId="2" borderId="22" xfId="0" applyFill="1" applyBorder="1" applyAlignment="1">
      <alignment horizontal="center" vertical="center" wrapText="1"/>
    </xf>
    <xf numFmtId="0" fontId="0" fillId="2" borderId="12" xfId="0" applyFill="1" applyBorder="1" applyAlignment="1">
      <alignment horizontal="center" vertical="center" wrapText="1"/>
    </xf>
    <xf numFmtId="0" fontId="0" fillId="2" borderId="17" xfId="0" applyFill="1" applyBorder="1" applyAlignment="1">
      <alignment horizontal="center" vertical="center" wrapText="1"/>
    </xf>
    <xf numFmtId="0" fontId="9" fillId="11" borderId="18" xfId="0" applyFont="1" applyFill="1" applyBorder="1" applyAlignment="1">
      <alignment horizontal="center" wrapText="1"/>
    </xf>
    <xf numFmtId="0" fontId="9" fillId="11" borderId="19" xfId="0" applyFont="1" applyFill="1" applyBorder="1" applyAlignment="1">
      <alignment horizontal="center" wrapText="1"/>
    </xf>
    <xf numFmtId="0" fontId="9" fillId="11" borderId="13" xfId="0" applyFont="1" applyFill="1" applyBorder="1" applyAlignment="1">
      <alignment horizontal="center" wrapText="1"/>
    </xf>
    <xf numFmtId="0" fontId="0" fillId="0" borderId="26" xfId="0" applyBorder="1" applyAlignment="1">
      <alignment horizontal="left" vertical="center"/>
    </xf>
    <xf numFmtId="0" fontId="0" fillId="0" borderId="27" xfId="0" applyBorder="1" applyAlignment="1">
      <alignment horizontal="left" vertical="center"/>
    </xf>
    <xf numFmtId="0" fontId="0" fillId="0" borderId="6" xfId="0" applyBorder="1" applyAlignment="1">
      <alignment horizontal="left" vertical="center"/>
    </xf>
    <xf numFmtId="0" fontId="0" fillId="0" borderId="7" xfId="0" applyBorder="1" applyAlignment="1">
      <alignment horizontal="left" vertical="center"/>
    </xf>
    <xf numFmtId="0" fontId="12" fillId="12" borderId="18" xfId="0" applyFont="1" applyFill="1" applyBorder="1" applyAlignment="1">
      <alignment horizontal="center" wrapText="1"/>
    </xf>
    <xf numFmtId="0" fontId="12" fillId="12" borderId="19" xfId="0" applyFont="1" applyFill="1" applyBorder="1" applyAlignment="1">
      <alignment horizontal="center" wrapText="1"/>
    </xf>
    <xf numFmtId="0" fontId="12" fillId="12" borderId="20" xfId="0" applyFont="1" applyFill="1" applyBorder="1" applyAlignment="1">
      <alignment horizontal="center" wrapText="1"/>
    </xf>
    <xf numFmtId="0" fontId="0" fillId="0" borderId="39" xfId="0" applyBorder="1" applyAlignment="1">
      <alignment horizontal="center" vertical="center" wrapText="1"/>
    </xf>
    <xf numFmtId="0" fontId="0" fillId="0" borderId="39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4" borderId="18" xfId="0" applyFill="1" applyBorder="1" applyAlignment="1">
      <alignment horizontal="center"/>
    </xf>
    <xf numFmtId="0" fontId="0" fillId="4" borderId="19" xfId="0" applyFill="1" applyBorder="1" applyAlignment="1">
      <alignment horizontal="center"/>
    </xf>
    <xf numFmtId="0" fontId="15" fillId="10" borderId="38" xfId="0" applyFont="1" applyFill="1" applyBorder="1" applyAlignment="1">
      <alignment horizontal="center" vertical="center" wrapText="1"/>
    </xf>
    <xf numFmtId="0" fontId="15" fillId="10" borderId="39" xfId="0" applyFont="1" applyFill="1" applyBorder="1" applyAlignment="1">
      <alignment horizontal="center" vertical="center" wrapText="1"/>
    </xf>
    <xf numFmtId="0" fontId="15" fillId="10" borderId="40" xfId="0" applyFont="1" applyFill="1" applyBorder="1" applyAlignment="1">
      <alignment horizontal="center" vertical="center" wrapText="1"/>
    </xf>
    <xf numFmtId="0" fontId="15" fillId="10" borderId="22" xfId="0" applyFont="1" applyFill="1" applyBorder="1" applyAlignment="1">
      <alignment horizontal="center" vertical="center" wrapText="1"/>
    </xf>
    <xf numFmtId="0" fontId="15" fillId="10" borderId="12" xfId="0" applyFont="1" applyFill="1" applyBorder="1" applyAlignment="1">
      <alignment horizontal="center" vertical="center" wrapText="1"/>
    </xf>
    <xf numFmtId="0" fontId="15" fillId="10" borderId="17" xfId="0" applyFont="1" applyFill="1" applyBorder="1" applyAlignment="1">
      <alignment horizontal="center" vertical="center" wrapText="1"/>
    </xf>
    <xf numFmtId="0" fontId="4" fillId="13" borderId="43" xfId="0" applyFont="1" applyFill="1" applyBorder="1" applyAlignment="1">
      <alignment horizontal="center"/>
    </xf>
    <xf numFmtId="0" fontId="4" fillId="13" borderId="44" xfId="0" applyFont="1" applyFill="1" applyBorder="1" applyAlignment="1">
      <alignment horizontal="center"/>
    </xf>
    <xf numFmtId="0" fontId="15" fillId="0" borderId="38" xfId="0" applyFont="1" applyBorder="1" applyAlignment="1">
      <alignment horizontal="center" vertical="center" wrapText="1"/>
    </xf>
    <xf numFmtId="0" fontId="15" fillId="0" borderId="40" xfId="0" applyFont="1" applyBorder="1" applyAlignment="1">
      <alignment horizontal="center" vertical="center" wrapText="1"/>
    </xf>
    <xf numFmtId="0" fontId="15" fillId="0" borderId="41" xfId="0" applyFont="1" applyBorder="1" applyAlignment="1">
      <alignment horizontal="center" vertical="center" wrapText="1"/>
    </xf>
    <xf numFmtId="0" fontId="15" fillId="0" borderId="42" xfId="0" applyFont="1" applyBorder="1" applyAlignment="1">
      <alignment horizontal="center" vertical="center" wrapText="1"/>
    </xf>
    <xf numFmtId="0" fontId="15" fillId="0" borderId="22" xfId="0" applyFont="1" applyBorder="1" applyAlignment="1">
      <alignment horizontal="center" vertical="center" wrapText="1"/>
    </xf>
    <xf numFmtId="0" fontId="15" fillId="0" borderId="17" xfId="0" applyFont="1" applyBorder="1" applyAlignment="1">
      <alignment horizontal="center" vertical="center" wrapText="1"/>
    </xf>
    <xf numFmtId="0" fontId="4" fillId="13" borderId="19" xfId="0" applyFont="1" applyFill="1" applyBorder="1" applyAlignment="1">
      <alignment horizontal="center"/>
    </xf>
    <xf numFmtId="0" fontId="17" fillId="0" borderId="38" xfId="0" applyFont="1" applyBorder="1" applyAlignment="1">
      <alignment horizontal="center" vertical="center" wrapText="1"/>
    </xf>
    <xf numFmtId="0" fontId="17" fillId="0" borderId="39" xfId="0" applyFont="1" applyBorder="1" applyAlignment="1">
      <alignment horizontal="center" vertical="center" wrapText="1"/>
    </xf>
    <xf numFmtId="0" fontId="17" fillId="0" borderId="40" xfId="0" applyFont="1" applyBorder="1" applyAlignment="1">
      <alignment horizontal="center" vertical="center" wrapText="1"/>
    </xf>
    <xf numFmtId="0" fontId="17" fillId="0" borderId="41" xfId="0" applyFont="1" applyBorder="1" applyAlignment="1">
      <alignment horizontal="center" vertical="center" wrapText="1"/>
    </xf>
    <xf numFmtId="0" fontId="17" fillId="0" borderId="0" xfId="0" applyFont="1" applyBorder="1" applyAlignment="1">
      <alignment horizontal="center" vertical="center" wrapText="1"/>
    </xf>
    <xf numFmtId="0" fontId="17" fillId="0" borderId="42" xfId="0" applyFont="1" applyBorder="1" applyAlignment="1">
      <alignment horizontal="center" vertical="center" wrapText="1"/>
    </xf>
    <xf numFmtId="0" fontId="17" fillId="0" borderId="22" xfId="0" applyFont="1" applyBorder="1" applyAlignment="1">
      <alignment horizontal="center" vertical="center" wrapText="1"/>
    </xf>
    <xf numFmtId="0" fontId="17" fillId="0" borderId="12" xfId="0" applyFont="1" applyBorder="1" applyAlignment="1">
      <alignment horizontal="center" vertical="center" wrapText="1"/>
    </xf>
    <xf numFmtId="0" fontId="17" fillId="0" borderId="17" xfId="0" applyFont="1" applyBorder="1" applyAlignment="1">
      <alignment horizontal="center" vertical="center" wrapText="1"/>
    </xf>
    <xf numFmtId="0" fontId="15" fillId="0" borderId="39" xfId="0" applyFont="1" applyBorder="1" applyAlignment="1">
      <alignment horizontal="center" vertical="center" wrapText="1"/>
    </xf>
    <xf numFmtId="0" fontId="15" fillId="0" borderId="0" xfId="0" applyFont="1" applyBorder="1" applyAlignment="1">
      <alignment horizontal="center" vertical="center" wrapText="1"/>
    </xf>
    <xf numFmtId="0" fontId="15" fillId="0" borderId="12" xfId="0" applyFont="1" applyBorder="1" applyAlignment="1">
      <alignment horizontal="center" vertical="center" wrapText="1"/>
    </xf>
    <xf numFmtId="0" fontId="8" fillId="4" borderId="18" xfId="0" applyFont="1" applyFill="1" applyBorder="1" applyAlignment="1">
      <alignment horizontal="center" vertical="center" wrapText="1"/>
    </xf>
    <xf numFmtId="0" fontId="8" fillId="4" borderId="19" xfId="0" applyFont="1" applyFill="1" applyBorder="1" applyAlignment="1">
      <alignment horizontal="center" vertical="center" wrapText="1"/>
    </xf>
    <xf numFmtId="0" fontId="8" fillId="4" borderId="13" xfId="0" applyFont="1" applyFill="1" applyBorder="1" applyAlignment="1">
      <alignment horizontal="center" vertical="center" wrapText="1"/>
    </xf>
    <xf numFmtId="0" fontId="7" fillId="7" borderId="18" xfId="0" applyFont="1" applyFill="1" applyBorder="1" applyAlignment="1">
      <alignment horizontal="center"/>
    </xf>
    <xf numFmtId="0" fontId="7" fillId="7" borderId="19" xfId="0" applyFont="1" applyFill="1" applyBorder="1" applyAlignment="1">
      <alignment horizontal="center"/>
    </xf>
    <xf numFmtId="0" fontId="7" fillId="7" borderId="20" xfId="0" applyFont="1" applyFill="1" applyBorder="1" applyAlignment="1">
      <alignment horizontal="center"/>
    </xf>
    <xf numFmtId="0" fontId="11" fillId="6" borderId="18" xfId="0" applyFont="1" applyFill="1" applyBorder="1" applyAlignment="1">
      <alignment horizontal="center" vertical="center" wrapText="1"/>
    </xf>
    <xf numFmtId="0" fontId="11" fillId="6" borderId="19" xfId="0" applyFont="1" applyFill="1" applyBorder="1" applyAlignment="1">
      <alignment horizontal="center" vertical="center" wrapText="1"/>
    </xf>
    <xf numFmtId="0" fontId="11" fillId="6" borderId="20" xfId="0" applyFont="1" applyFill="1" applyBorder="1" applyAlignment="1">
      <alignment horizontal="center" vertical="center" wrapText="1"/>
    </xf>
    <xf numFmtId="0" fontId="11" fillId="9" borderId="18" xfId="0" applyFont="1" applyFill="1" applyBorder="1" applyAlignment="1">
      <alignment horizontal="center"/>
    </xf>
    <xf numFmtId="0" fontId="11" fillId="9" borderId="19" xfId="0" applyFont="1" applyFill="1" applyBorder="1" applyAlignment="1">
      <alignment horizontal="center"/>
    </xf>
    <xf numFmtId="0" fontId="11" fillId="9" borderId="20" xfId="0" applyFont="1" applyFill="1" applyBorder="1" applyAlignment="1">
      <alignment horizontal="center"/>
    </xf>
    <xf numFmtId="0" fontId="10" fillId="6" borderId="18" xfId="0" applyFont="1" applyFill="1" applyBorder="1" applyAlignment="1">
      <alignment horizontal="center"/>
    </xf>
    <xf numFmtId="0" fontId="10" fillId="6" borderId="19" xfId="0" applyFont="1" applyFill="1" applyBorder="1" applyAlignment="1">
      <alignment horizontal="center"/>
    </xf>
    <xf numFmtId="0" fontId="13" fillId="14" borderId="18" xfId="0" applyFont="1" applyFill="1" applyBorder="1" applyAlignment="1">
      <alignment horizontal="center"/>
    </xf>
    <xf numFmtId="0" fontId="13" fillId="14" borderId="19" xfId="0" applyFont="1" applyFill="1" applyBorder="1" applyAlignment="1">
      <alignment horizontal="center"/>
    </xf>
    <xf numFmtId="0" fontId="19" fillId="0" borderId="38" xfId="0" applyFont="1" applyBorder="1" applyAlignment="1">
      <alignment horizontal="center" vertical="center" wrapText="1"/>
    </xf>
    <xf numFmtId="0" fontId="19" fillId="0" borderId="45" xfId="0" applyFont="1" applyBorder="1" applyAlignment="1">
      <alignment horizontal="center" vertical="center" wrapText="1"/>
    </xf>
    <xf numFmtId="0" fontId="19" fillId="0" borderId="41" xfId="0" applyFont="1" applyBorder="1" applyAlignment="1">
      <alignment horizontal="center" vertical="center" wrapText="1"/>
    </xf>
    <xf numFmtId="0" fontId="19" fillId="0" borderId="46" xfId="0" applyFont="1" applyBorder="1" applyAlignment="1">
      <alignment horizontal="center" vertical="center" wrapText="1"/>
    </xf>
    <xf numFmtId="0" fontId="19" fillId="0" borderId="47" xfId="0" applyFont="1" applyBorder="1" applyAlignment="1">
      <alignment horizontal="center" vertical="center" wrapText="1"/>
    </xf>
    <xf numFmtId="0" fontId="19" fillId="0" borderId="49" xfId="0" applyFont="1" applyBorder="1" applyAlignment="1">
      <alignment horizontal="center" vertical="center" wrapText="1"/>
    </xf>
    <xf numFmtId="0" fontId="20" fillId="14" borderId="18" xfId="0" applyFont="1" applyFill="1" applyBorder="1" applyAlignment="1">
      <alignment horizontal="center"/>
    </xf>
    <xf numFmtId="0" fontId="20" fillId="14" borderId="19" xfId="0" applyFont="1" applyFill="1" applyBorder="1" applyAlignment="1">
      <alignment horizontal="center"/>
    </xf>
    <xf numFmtId="0" fontId="20" fillId="14" borderId="13" xfId="0" applyFont="1" applyFill="1" applyBorder="1" applyAlignment="1">
      <alignment horizontal="center"/>
    </xf>
    <xf numFmtId="0" fontId="18" fillId="0" borderId="38" xfId="0" applyFont="1" applyBorder="1" applyAlignment="1">
      <alignment horizontal="center" vertical="center" wrapText="1"/>
    </xf>
    <xf numFmtId="0" fontId="18" fillId="0" borderId="40" xfId="0" applyFont="1" applyBorder="1" applyAlignment="1">
      <alignment horizontal="center" vertical="center" wrapText="1"/>
    </xf>
    <xf numFmtId="0" fontId="18" fillId="0" borderId="41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19" fillId="0" borderId="40" xfId="0" applyFont="1" applyBorder="1" applyAlignment="1">
      <alignment horizontal="center" vertical="center" wrapText="1"/>
    </xf>
    <xf numFmtId="0" fontId="19" fillId="0" borderId="42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17" xfId="0" applyFont="1" applyBorder="1" applyAlignment="1">
      <alignment horizontal="center" vertical="center" wrapText="1"/>
    </xf>
    <xf numFmtId="0" fontId="15" fillId="0" borderId="38" xfId="0" applyFont="1" applyBorder="1" applyAlignment="1">
      <alignment horizontal="center" wrapText="1"/>
    </xf>
    <xf numFmtId="0" fontId="15" fillId="0" borderId="39" xfId="0" applyFont="1" applyBorder="1" applyAlignment="1">
      <alignment horizontal="center" wrapText="1"/>
    </xf>
    <xf numFmtId="0" fontId="15" fillId="0" borderId="40" xfId="0" applyFont="1" applyBorder="1" applyAlignment="1">
      <alignment horizontal="center" wrapText="1"/>
    </xf>
    <xf numFmtId="0" fontId="15" fillId="0" borderId="22" xfId="0" applyFont="1" applyBorder="1" applyAlignment="1">
      <alignment horizontal="center" wrapText="1"/>
    </xf>
    <xf numFmtId="0" fontId="15" fillId="0" borderId="12" xfId="0" applyFont="1" applyBorder="1" applyAlignment="1">
      <alignment horizontal="center" wrapText="1"/>
    </xf>
    <xf numFmtId="0" fontId="15" fillId="0" borderId="17" xfId="0" applyFont="1" applyBorder="1" applyAlignment="1">
      <alignment horizontal="center" wrapText="1"/>
    </xf>
    <xf numFmtId="0" fontId="13" fillId="14" borderId="18" xfId="0" applyFont="1" applyFill="1" applyBorder="1" applyAlignment="1">
      <alignment horizontal="center" vertical="center"/>
    </xf>
    <xf numFmtId="0" fontId="13" fillId="14" borderId="13" xfId="0" applyFont="1" applyFill="1" applyBorder="1" applyAlignment="1">
      <alignment horizontal="center" vertical="center"/>
    </xf>
    <xf numFmtId="0" fontId="21" fillId="14" borderId="18" xfId="0" applyFont="1" applyFill="1" applyBorder="1" applyAlignment="1">
      <alignment horizontal="center" vertical="center"/>
    </xf>
    <xf numFmtId="0" fontId="21" fillId="14" borderId="19" xfId="0" applyFont="1" applyFill="1" applyBorder="1" applyAlignment="1">
      <alignment horizontal="center" vertical="center"/>
    </xf>
    <xf numFmtId="0" fontId="21" fillId="14" borderId="13" xfId="0" applyFont="1" applyFill="1" applyBorder="1" applyAlignment="1">
      <alignment horizontal="center" vertical="center"/>
    </xf>
    <xf numFmtId="0" fontId="19" fillId="0" borderId="39" xfId="0" applyFont="1" applyBorder="1" applyAlignment="1">
      <alignment horizontal="center" vertical="center" wrapText="1"/>
    </xf>
    <xf numFmtId="0" fontId="19" fillId="0" borderId="0" xfId="0" applyFont="1" applyBorder="1" applyAlignment="1">
      <alignment horizontal="center" vertical="center" wrapText="1"/>
    </xf>
    <xf numFmtId="0" fontId="19" fillId="0" borderId="48" xfId="0" applyFont="1" applyBorder="1" applyAlignment="1">
      <alignment horizontal="center" vertical="center" wrapText="1"/>
    </xf>
    <xf numFmtId="0" fontId="14" fillId="0" borderId="38" xfId="0" applyFont="1" applyBorder="1" applyAlignment="1">
      <alignment horizontal="center" vertical="center" wrapText="1"/>
    </xf>
    <xf numFmtId="0" fontId="14" fillId="0" borderId="39" xfId="0" applyFont="1" applyBorder="1" applyAlignment="1">
      <alignment horizontal="center" vertical="center" wrapText="1"/>
    </xf>
    <xf numFmtId="0" fontId="14" fillId="0" borderId="40" xfId="0" applyFont="1" applyBorder="1" applyAlignment="1">
      <alignment horizontal="center" vertical="center" wrapText="1"/>
    </xf>
    <xf numFmtId="0" fontId="14" fillId="0" borderId="41" xfId="0" applyFont="1" applyBorder="1" applyAlignment="1">
      <alignment horizontal="center" vertical="center" wrapText="1"/>
    </xf>
    <xf numFmtId="0" fontId="14" fillId="0" borderId="0" xfId="0" applyFont="1" applyBorder="1" applyAlignment="1">
      <alignment horizontal="center" vertical="center" wrapText="1"/>
    </xf>
    <xf numFmtId="0" fontId="14" fillId="0" borderId="42" xfId="0" applyFont="1" applyBorder="1" applyAlignment="1">
      <alignment horizontal="center" vertical="center" wrapText="1"/>
    </xf>
    <xf numFmtId="0" fontId="14" fillId="0" borderId="22" xfId="0" applyFont="1" applyBorder="1" applyAlignment="1">
      <alignment horizontal="center" vertical="center" wrapText="1"/>
    </xf>
    <xf numFmtId="0" fontId="14" fillId="0" borderId="12" xfId="0" applyFont="1" applyBorder="1" applyAlignment="1">
      <alignment horizontal="center" vertical="center" wrapText="1"/>
    </xf>
    <xf numFmtId="0" fontId="14" fillId="0" borderId="17" xfId="0" applyFont="1" applyBorder="1" applyAlignment="1">
      <alignment horizontal="center" vertical="center" wrapText="1"/>
    </xf>
    <xf numFmtId="0" fontId="14" fillId="2" borderId="38" xfId="0" applyFont="1" applyFill="1" applyBorder="1" applyAlignment="1">
      <alignment horizontal="center" vertical="center" wrapText="1"/>
    </xf>
    <xf numFmtId="0" fontId="14" fillId="2" borderId="39" xfId="0" applyFont="1" applyFill="1" applyBorder="1" applyAlignment="1">
      <alignment horizontal="center" vertical="center" wrapText="1"/>
    </xf>
    <xf numFmtId="0" fontId="14" fillId="2" borderId="40" xfId="0" applyFont="1" applyFill="1" applyBorder="1" applyAlignment="1">
      <alignment horizontal="center" vertical="center" wrapText="1"/>
    </xf>
    <xf numFmtId="0" fontId="14" fillId="2" borderId="41" xfId="0" applyFont="1" applyFill="1" applyBorder="1" applyAlignment="1">
      <alignment horizontal="center" vertical="center" wrapText="1"/>
    </xf>
    <xf numFmtId="0" fontId="14" fillId="2" borderId="0" xfId="0" applyFont="1" applyFill="1" applyBorder="1" applyAlignment="1">
      <alignment horizontal="center" vertical="center" wrapText="1"/>
    </xf>
    <xf numFmtId="0" fontId="14" fillId="2" borderId="42" xfId="0" applyFont="1" applyFill="1" applyBorder="1" applyAlignment="1">
      <alignment horizontal="center" vertical="center" wrapText="1"/>
    </xf>
    <xf numFmtId="0" fontId="14" fillId="2" borderId="22" xfId="0" applyFont="1" applyFill="1" applyBorder="1" applyAlignment="1">
      <alignment horizontal="center" vertical="center" wrapText="1"/>
    </xf>
    <xf numFmtId="0" fontId="14" fillId="2" borderId="12" xfId="0" applyFont="1" applyFill="1" applyBorder="1" applyAlignment="1">
      <alignment horizontal="center" vertical="center" wrapText="1"/>
    </xf>
    <xf numFmtId="0" fontId="14" fillId="2" borderId="17" xfId="0" applyFont="1" applyFill="1" applyBorder="1" applyAlignment="1">
      <alignment horizontal="center" vertical="center" wrapText="1"/>
    </xf>
    <xf numFmtId="0" fontId="0" fillId="15" borderId="18" xfId="0" applyFill="1" applyBorder="1" applyAlignment="1">
      <alignment horizontal="center" vertical="center"/>
    </xf>
    <xf numFmtId="0" fontId="0" fillId="15" borderId="19" xfId="0" applyFill="1" applyBorder="1" applyAlignment="1">
      <alignment horizontal="center" vertical="center"/>
    </xf>
    <xf numFmtId="0" fontId="0" fillId="15" borderId="13" xfId="0" applyFill="1" applyBorder="1" applyAlignment="1">
      <alignment horizontal="center" vertical="center"/>
    </xf>
    <xf numFmtId="0" fontId="14" fillId="15" borderId="18" xfId="0" applyFont="1" applyFill="1" applyBorder="1" applyAlignment="1">
      <alignment horizontal="center" vertical="center" wrapText="1"/>
    </xf>
    <xf numFmtId="0" fontId="14" fillId="15" borderId="19" xfId="0" applyFont="1" applyFill="1" applyBorder="1" applyAlignment="1">
      <alignment horizontal="center" vertical="center" wrapText="1"/>
    </xf>
    <xf numFmtId="0" fontId="14" fillId="15" borderId="13" xfId="0" applyFont="1" applyFill="1" applyBorder="1" applyAlignment="1">
      <alignment horizontal="center" vertical="center" wrapText="1"/>
    </xf>
  </cellXfs>
  <cellStyles count="2">
    <cellStyle name="Обычный" xfId="0" builtinId="0"/>
    <cellStyle name="Процентный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"/>
              <a:t>X1 </a:t>
            </a:r>
            <a:r>
              <a:rPr lang="ru-RU"/>
              <a:t>График остатков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>
              <a:noFill/>
            </a:ln>
          </c:spPr>
          <c:xVal>
            <c:numRef>
              <c:f>'Модель 1'!$B$2:$B$169</c:f>
              <c:numCache>
                <c:formatCode>#,##0</c:formatCode>
                <c:ptCount val="168"/>
                <c:pt idx="0">
                  <c:v>62643</c:v>
                </c:pt>
                <c:pt idx="1">
                  <c:v>72704</c:v>
                </c:pt>
                <c:pt idx="2">
                  <c:v>81669</c:v>
                </c:pt>
                <c:pt idx="3">
                  <c:v>87792</c:v>
                </c:pt>
                <c:pt idx="4">
                  <c:v>106131</c:v>
                </c:pt>
                <c:pt idx="5">
                  <c:v>89359</c:v>
                </c:pt>
                <c:pt idx="6">
                  <c:v>106199</c:v>
                </c:pt>
                <c:pt idx="7">
                  <c:v>110381</c:v>
                </c:pt>
                <c:pt idx="8">
                  <c:v>192377</c:v>
                </c:pt>
                <c:pt idx="9">
                  <c:v>137104</c:v>
                </c:pt>
                <c:pt idx="10">
                  <c:v>137874</c:v>
                </c:pt>
                <c:pt idx="11">
                  <c:v>158034</c:v>
                </c:pt>
                <c:pt idx="12">
                  <c:v>119974</c:v>
                </c:pt>
                <c:pt idx="13">
                  <c:v>113680</c:v>
                </c:pt>
                <c:pt idx="14">
                  <c:v>108532</c:v>
                </c:pt>
                <c:pt idx="15">
                  <c:v>121353</c:v>
                </c:pt>
                <c:pt idx="16">
                  <c:v>114942</c:v>
                </c:pt>
                <c:pt idx="17">
                  <c:v>150227</c:v>
                </c:pt>
                <c:pt idx="18">
                  <c:v>152834</c:v>
                </c:pt>
                <c:pt idx="19">
                  <c:v>154299</c:v>
                </c:pt>
                <c:pt idx="20">
                  <c:v>196541</c:v>
                </c:pt>
                <c:pt idx="21">
                  <c:v>187838</c:v>
                </c:pt>
                <c:pt idx="22">
                  <c:v>221856</c:v>
                </c:pt>
                <c:pt idx="23">
                  <c:v>186830</c:v>
                </c:pt>
                <c:pt idx="24">
                  <c:v>52098</c:v>
                </c:pt>
                <c:pt idx="25">
                  <c:v>55375</c:v>
                </c:pt>
                <c:pt idx="26">
                  <c:v>65737</c:v>
                </c:pt>
                <c:pt idx="27">
                  <c:v>86686</c:v>
                </c:pt>
                <c:pt idx="28">
                  <c:v>72903</c:v>
                </c:pt>
                <c:pt idx="29">
                  <c:v>79308</c:v>
                </c:pt>
                <c:pt idx="30">
                  <c:v>113814</c:v>
                </c:pt>
                <c:pt idx="31">
                  <c:v>117073</c:v>
                </c:pt>
                <c:pt idx="32">
                  <c:v>127428</c:v>
                </c:pt>
                <c:pt idx="33">
                  <c:v>125317</c:v>
                </c:pt>
                <c:pt idx="34">
                  <c:v>139440</c:v>
                </c:pt>
                <c:pt idx="35">
                  <c:v>136570</c:v>
                </c:pt>
                <c:pt idx="36">
                  <c:v>63811</c:v>
                </c:pt>
                <c:pt idx="37">
                  <c:v>70223</c:v>
                </c:pt>
                <c:pt idx="38">
                  <c:v>70333</c:v>
                </c:pt>
                <c:pt idx="39">
                  <c:v>119621</c:v>
                </c:pt>
                <c:pt idx="40">
                  <c:v>138396</c:v>
                </c:pt>
                <c:pt idx="41">
                  <c:v>104147</c:v>
                </c:pt>
                <c:pt idx="42">
                  <c:v>109978</c:v>
                </c:pt>
                <c:pt idx="43">
                  <c:v>138871</c:v>
                </c:pt>
                <c:pt idx="44">
                  <c:v>135912</c:v>
                </c:pt>
                <c:pt idx="45">
                  <c:v>160657</c:v>
                </c:pt>
                <c:pt idx="46">
                  <c:v>152937</c:v>
                </c:pt>
                <c:pt idx="47">
                  <c:v>177961</c:v>
                </c:pt>
                <c:pt idx="48">
                  <c:v>63378</c:v>
                </c:pt>
                <c:pt idx="49">
                  <c:v>73180</c:v>
                </c:pt>
                <c:pt idx="50">
                  <c:v>70482</c:v>
                </c:pt>
                <c:pt idx="51">
                  <c:v>74813</c:v>
                </c:pt>
                <c:pt idx="52">
                  <c:v>72402</c:v>
                </c:pt>
                <c:pt idx="53">
                  <c:v>101090</c:v>
                </c:pt>
                <c:pt idx="54">
                  <c:v>92636</c:v>
                </c:pt>
                <c:pt idx="55">
                  <c:v>97965</c:v>
                </c:pt>
                <c:pt idx="56">
                  <c:v>125383</c:v>
                </c:pt>
                <c:pt idx="57">
                  <c:v>131954</c:v>
                </c:pt>
                <c:pt idx="58">
                  <c:v>97451</c:v>
                </c:pt>
                <c:pt idx="59">
                  <c:v>165659</c:v>
                </c:pt>
                <c:pt idx="60">
                  <c:v>83495</c:v>
                </c:pt>
                <c:pt idx="61">
                  <c:v>62852</c:v>
                </c:pt>
                <c:pt idx="62">
                  <c:v>72703</c:v>
                </c:pt>
                <c:pt idx="63">
                  <c:v>85443</c:v>
                </c:pt>
                <c:pt idx="64">
                  <c:v>88286</c:v>
                </c:pt>
                <c:pt idx="65">
                  <c:v>114134</c:v>
                </c:pt>
                <c:pt idx="66">
                  <c:v>98764</c:v>
                </c:pt>
                <c:pt idx="67">
                  <c:v>113353</c:v>
                </c:pt>
                <c:pt idx="68">
                  <c:v>108532</c:v>
                </c:pt>
                <c:pt idx="69">
                  <c:v>157646</c:v>
                </c:pt>
                <c:pt idx="70">
                  <c:v>129343</c:v>
                </c:pt>
                <c:pt idx="71">
                  <c:v>156617</c:v>
                </c:pt>
                <c:pt idx="72">
                  <c:v>58604</c:v>
                </c:pt>
                <c:pt idx="73">
                  <c:v>64009</c:v>
                </c:pt>
                <c:pt idx="74">
                  <c:v>63807</c:v>
                </c:pt>
                <c:pt idx="75">
                  <c:v>82820</c:v>
                </c:pt>
                <c:pt idx="76">
                  <c:v>84059</c:v>
                </c:pt>
                <c:pt idx="77">
                  <c:v>87108</c:v>
                </c:pt>
                <c:pt idx="78">
                  <c:v>89471</c:v>
                </c:pt>
                <c:pt idx="79">
                  <c:v>140350</c:v>
                </c:pt>
                <c:pt idx="80">
                  <c:v>104644</c:v>
                </c:pt>
                <c:pt idx="81">
                  <c:v>136164</c:v>
                </c:pt>
                <c:pt idx="82">
                  <c:v>125437</c:v>
                </c:pt>
                <c:pt idx="83">
                  <c:v>178536</c:v>
                </c:pt>
                <c:pt idx="84">
                  <c:v>55133</c:v>
                </c:pt>
                <c:pt idx="85">
                  <c:v>71447</c:v>
                </c:pt>
                <c:pt idx="86">
                  <c:v>63586</c:v>
                </c:pt>
                <c:pt idx="87">
                  <c:v>101116</c:v>
                </c:pt>
                <c:pt idx="88">
                  <c:v>112971</c:v>
                </c:pt>
                <c:pt idx="89">
                  <c:v>81343</c:v>
                </c:pt>
                <c:pt idx="90">
                  <c:v>96530</c:v>
                </c:pt>
                <c:pt idx="91">
                  <c:v>125476</c:v>
                </c:pt>
                <c:pt idx="92">
                  <c:v>116469</c:v>
                </c:pt>
                <c:pt idx="93">
                  <c:v>111795</c:v>
                </c:pt>
                <c:pt idx="94">
                  <c:v>204157</c:v>
                </c:pt>
                <c:pt idx="95">
                  <c:v>160788</c:v>
                </c:pt>
                <c:pt idx="96">
                  <c:v>40383</c:v>
                </c:pt>
                <c:pt idx="97">
                  <c:v>43237</c:v>
                </c:pt>
                <c:pt idx="98">
                  <c:v>56274</c:v>
                </c:pt>
                <c:pt idx="99">
                  <c:v>51041</c:v>
                </c:pt>
                <c:pt idx="100">
                  <c:v>66194</c:v>
                </c:pt>
                <c:pt idx="101">
                  <c:v>63061</c:v>
                </c:pt>
                <c:pt idx="102">
                  <c:v>61403</c:v>
                </c:pt>
                <c:pt idx="103">
                  <c:v>61017</c:v>
                </c:pt>
                <c:pt idx="104">
                  <c:v>66444</c:v>
                </c:pt>
                <c:pt idx="105">
                  <c:v>90937</c:v>
                </c:pt>
                <c:pt idx="106">
                  <c:v>92111</c:v>
                </c:pt>
                <c:pt idx="107">
                  <c:v>90313</c:v>
                </c:pt>
                <c:pt idx="108">
                  <c:v>42772</c:v>
                </c:pt>
                <c:pt idx="109">
                  <c:v>62380</c:v>
                </c:pt>
                <c:pt idx="110">
                  <c:v>56226</c:v>
                </c:pt>
                <c:pt idx="111">
                  <c:v>52940</c:v>
                </c:pt>
                <c:pt idx="112">
                  <c:v>67795</c:v>
                </c:pt>
                <c:pt idx="113">
                  <c:v>90942</c:v>
                </c:pt>
                <c:pt idx="114">
                  <c:v>84010</c:v>
                </c:pt>
                <c:pt idx="115">
                  <c:v>96959</c:v>
                </c:pt>
                <c:pt idx="116">
                  <c:v>118444</c:v>
                </c:pt>
                <c:pt idx="117">
                  <c:v>101397</c:v>
                </c:pt>
                <c:pt idx="118">
                  <c:v>161933</c:v>
                </c:pt>
                <c:pt idx="119">
                  <c:v>114407</c:v>
                </c:pt>
                <c:pt idx="120">
                  <c:v>82655</c:v>
                </c:pt>
                <c:pt idx="121">
                  <c:v>105670</c:v>
                </c:pt>
                <c:pt idx="122">
                  <c:v>110304</c:v>
                </c:pt>
                <c:pt idx="123">
                  <c:v>152864</c:v>
                </c:pt>
                <c:pt idx="124">
                  <c:v>153890</c:v>
                </c:pt>
                <c:pt idx="125">
                  <c:v>155968</c:v>
                </c:pt>
                <c:pt idx="126">
                  <c:v>158357</c:v>
                </c:pt>
                <c:pt idx="127">
                  <c:v>152465</c:v>
                </c:pt>
                <c:pt idx="128">
                  <c:v>181847</c:v>
                </c:pt>
                <c:pt idx="129">
                  <c:v>249129</c:v>
                </c:pt>
                <c:pt idx="130">
                  <c:v>231174</c:v>
                </c:pt>
                <c:pt idx="131">
                  <c:v>232728</c:v>
                </c:pt>
                <c:pt idx="132">
                  <c:v>55142</c:v>
                </c:pt>
                <c:pt idx="133">
                  <c:v>57541</c:v>
                </c:pt>
                <c:pt idx="134">
                  <c:v>72362</c:v>
                </c:pt>
                <c:pt idx="135">
                  <c:v>84564</c:v>
                </c:pt>
                <c:pt idx="136">
                  <c:v>83296</c:v>
                </c:pt>
                <c:pt idx="137">
                  <c:v>96072</c:v>
                </c:pt>
                <c:pt idx="138">
                  <c:v>70037</c:v>
                </c:pt>
                <c:pt idx="139">
                  <c:v>102669</c:v>
                </c:pt>
                <c:pt idx="140">
                  <c:v>104695</c:v>
                </c:pt>
                <c:pt idx="141">
                  <c:v>148669</c:v>
                </c:pt>
                <c:pt idx="142">
                  <c:v>161202</c:v>
                </c:pt>
                <c:pt idx="143">
                  <c:v>115558</c:v>
                </c:pt>
                <c:pt idx="144">
                  <c:v>51726</c:v>
                </c:pt>
                <c:pt idx="145">
                  <c:v>47179</c:v>
                </c:pt>
                <c:pt idx="146">
                  <c:v>53984</c:v>
                </c:pt>
                <c:pt idx="147">
                  <c:v>80066</c:v>
                </c:pt>
                <c:pt idx="148">
                  <c:v>88806</c:v>
                </c:pt>
                <c:pt idx="149">
                  <c:v>94664</c:v>
                </c:pt>
                <c:pt idx="150">
                  <c:v>103846</c:v>
                </c:pt>
                <c:pt idx="151">
                  <c:v>108418</c:v>
                </c:pt>
                <c:pt idx="152">
                  <c:v>114116</c:v>
                </c:pt>
                <c:pt idx="153">
                  <c:v>104839</c:v>
                </c:pt>
                <c:pt idx="154">
                  <c:v>117272</c:v>
                </c:pt>
                <c:pt idx="155">
                  <c:v>133241</c:v>
                </c:pt>
                <c:pt idx="156">
                  <c:v>57169</c:v>
                </c:pt>
                <c:pt idx="157">
                  <c:v>66689</c:v>
                </c:pt>
                <c:pt idx="158">
                  <c:v>76945</c:v>
                </c:pt>
                <c:pt idx="159">
                  <c:v>93794</c:v>
                </c:pt>
                <c:pt idx="160">
                  <c:v>90675</c:v>
                </c:pt>
                <c:pt idx="161">
                  <c:v>74374</c:v>
                </c:pt>
                <c:pt idx="162">
                  <c:v>104495</c:v>
                </c:pt>
                <c:pt idx="163">
                  <c:v>125279</c:v>
                </c:pt>
                <c:pt idx="164">
                  <c:v>99028</c:v>
                </c:pt>
                <c:pt idx="165">
                  <c:v>122281</c:v>
                </c:pt>
                <c:pt idx="166">
                  <c:v>162971</c:v>
                </c:pt>
                <c:pt idx="167">
                  <c:v>172911</c:v>
                </c:pt>
              </c:numCache>
            </c:numRef>
          </c:xVal>
          <c:yVal>
            <c:numRef>
              <c:f>'Модель 1'!$G$27:$G$194</c:f>
              <c:numCache>
                <c:formatCode>General</c:formatCode>
                <c:ptCount val="168"/>
                <c:pt idx="0">
                  <c:v>-10128.368613731232</c:v>
                </c:pt>
                <c:pt idx="1">
                  <c:v>-110.33246515624342</c:v>
                </c:pt>
                <c:pt idx="2">
                  <c:v>-2583.8194149592018</c:v>
                </c:pt>
                <c:pt idx="3">
                  <c:v>-10707.086282748962</c:v>
                </c:pt>
                <c:pt idx="4">
                  <c:v>-7560.4935584538034</c:v>
                </c:pt>
                <c:pt idx="5">
                  <c:v>19090.566169456928</c:v>
                </c:pt>
                <c:pt idx="6">
                  <c:v>1804.7301075482101</c:v>
                </c:pt>
                <c:pt idx="7">
                  <c:v>15158.595617783896</c:v>
                </c:pt>
                <c:pt idx="8">
                  <c:v>-14523.787598990544</c:v>
                </c:pt>
                <c:pt idx="9">
                  <c:v>20972.542259730399</c:v>
                </c:pt>
                <c:pt idx="10">
                  <c:v>54985.052285864193</c:v>
                </c:pt>
                <c:pt idx="11">
                  <c:v>27247.975472605496</c:v>
                </c:pt>
                <c:pt idx="12">
                  <c:v>-62655.667669875344</c:v>
                </c:pt>
                <c:pt idx="13">
                  <c:v>-37542.484253109258</c:v>
                </c:pt>
                <c:pt idx="14">
                  <c:v>-31274.293245772307</c:v>
                </c:pt>
                <c:pt idx="15">
                  <c:v>-17285.687205949769</c:v>
                </c:pt>
                <c:pt idx="16">
                  <c:v>-17429.146272854909</c:v>
                </c:pt>
                <c:pt idx="17">
                  <c:v>-32781.02544134995</c:v>
                </c:pt>
                <c:pt idx="18">
                  <c:v>-20921.99864916876</c:v>
                </c:pt>
                <c:pt idx="19">
                  <c:v>-12743.693462915893</c:v>
                </c:pt>
                <c:pt idx="20">
                  <c:v>-27757.043843549793</c:v>
                </c:pt>
                <c:pt idx="21">
                  <c:v>-20949.222408711677</c:v>
                </c:pt>
                <c:pt idx="22">
                  <c:v>-25306.220436365053</c:v>
                </c:pt>
                <c:pt idx="23">
                  <c:v>17819.340317505877</c:v>
                </c:pt>
                <c:pt idx="24">
                  <c:v>-19343.255212451098</c:v>
                </c:pt>
                <c:pt idx="25">
                  <c:v>-32751.315242975805</c:v>
                </c:pt>
                <c:pt idx="26">
                  <c:v>-7113.9595980213489</c:v>
                </c:pt>
                <c:pt idx="27">
                  <c:v>-26949.109997826454</c:v>
                </c:pt>
                <c:pt idx="28">
                  <c:v>2482.2266725467343</c:v>
                </c:pt>
                <c:pt idx="29">
                  <c:v>3450.7831004725886</c:v>
                </c:pt>
                <c:pt idx="30">
                  <c:v>-12184.735266838543</c:v>
                </c:pt>
                <c:pt idx="31">
                  <c:v>-26111.925133960904</c:v>
                </c:pt>
                <c:pt idx="32">
                  <c:v>-9956.3678036754136</c:v>
                </c:pt>
                <c:pt idx="33">
                  <c:v>708.30095342802815</c:v>
                </c:pt>
                <c:pt idx="34">
                  <c:v>4967.78001492162</c:v>
                </c:pt>
                <c:pt idx="35">
                  <c:v>20139.070352717594</c:v>
                </c:pt>
                <c:pt idx="36">
                  <c:v>-18467.632251464936</c:v>
                </c:pt>
                <c:pt idx="37">
                  <c:v>-16621.618499024014</c:v>
                </c:pt>
                <c:pt idx="38">
                  <c:v>10361.101589156489</c:v>
                </c:pt>
                <c:pt idx="39">
                  <c:v>-15828.595365454443</c:v>
                </c:pt>
                <c:pt idx="40">
                  <c:v>-26879.977244023205</c:v>
                </c:pt>
                <c:pt idx="41">
                  <c:v>-3899.869378080446</c:v>
                </c:pt>
                <c:pt idx="42">
                  <c:v>30161.850208651857</c:v>
                </c:pt>
                <c:pt idx="43">
                  <c:v>-7422.6389918684727</c:v>
                </c:pt>
                <c:pt idx="44">
                  <c:v>9818.53196941223</c:v>
                </c:pt>
                <c:pt idx="45">
                  <c:v>1352.7002872353769</c:v>
                </c:pt>
                <c:pt idx="46">
                  <c:v>26953.634692636086</c:v>
                </c:pt>
                <c:pt idx="47">
                  <c:v>13397.332870452374</c:v>
                </c:pt>
                <c:pt idx="48">
                  <c:v>-18808.743966071313</c:v>
                </c:pt>
                <c:pt idx="49">
                  <c:v>-17203.03724049608</c:v>
                </c:pt>
                <c:pt idx="50">
                  <c:v>2825.4745101895533</c:v>
                </c:pt>
                <c:pt idx="51">
                  <c:v>3943.8509490015858</c:v>
                </c:pt>
                <c:pt idx="52">
                  <c:v>15075.511844117224</c:v>
                </c:pt>
                <c:pt idx="53">
                  <c:v>-3566.1492798450636</c:v>
                </c:pt>
                <c:pt idx="54">
                  <c:v>34706.664165468072</c:v>
                </c:pt>
                <c:pt idx="55">
                  <c:v>23555.384764156974</c:v>
                </c:pt>
                <c:pt idx="56">
                  <c:v>29107.403230237891</c:v>
                </c:pt>
                <c:pt idx="57">
                  <c:v>32048.768695121282</c:v>
                </c:pt>
                <c:pt idx="58">
                  <c:v>80511.789260027901</c:v>
                </c:pt>
                <c:pt idx="59">
                  <c:v>31298.10186234588</c:v>
                </c:pt>
                <c:pt idx="60">
                  <c:v>-40443.585379212629</c:v>
                </c:pt>
                <c:pt idx="61">
                  <c:v>-13118.215830771427</c:v>
                </c:pt>
                <c:pt idx="62">
                  <c:v>-62.767071844806196</c:v>
                </c:pt>
                <c:pt idx="63">
                  <c:v>-10078.208886595763</c:v>
                </c:pt>
                <c:pt idx="64">
                  <c:v>1567.4412874912377</c:v>
                </c:pt>
                <c:pt idx="65">
                  <c:v>-18118.818613659678</c:v>
                </c:pt>
                <c:pt idx="66">
                  <c:v>-4260.2576346907881</c:v>
                </c:pt>
                <c:pt idx="67">
                  <c:v>22167.603448941372</c:v>
                </c:pt>
                <c:pt idx="68">
                  <c:v>19445.890308755013</c:v>
                </c:pt>
                <c:pt idx="69">
                  <c:v>5155.4095600731089</c:v>
                </c:pt>
                <c:pt idx="70">
                  <c:v>31750.08575393178</c:v>
                </c:pt>
                <c:pt idx="71">
                  <c:v>23905.196836320218</c:v>
                </c:pt>
                <c:pt idx="72">
                  <c:v>513.48339290102012</c:v>
                </c:pt>
                <c:pt idx="73">
                  <c:v>7922.2520103760762</c:v>
                </c:pt>
                <c:pt idx="74">
                  <c:v>25209.222063262074</c:v>
                </c:pt>
                <c:pt idx="75">
                  <c:v>3905.0208098097646</c:v>
                </c:pt>
                <c:pt idx="76">
                  <c:v>35528.160913242085</c:v>
                </c:pt>
                <c:pt idx="77">
                  <c:v>-2330.6318811165111</c:v>
                </c:pt>
                <c:pt idx="78">
                  <c:v>49821.089824107185</c:v>
                </c:pt>
                <c:pt idx="79">
                  <c:v>12654.40416140022</c:v>
                </c:pt>
                <c:pt idx="80">
                  <c:v>46838.383959356463</c:v>
                </c:pt>
                <c:pt idx="81">
                  <c:v>42691.06122408458</c:v>
                </c:pt>
                <c:pt idx="82">
                  <c:v>63849.20551974565</c:v>
                </c:pt>
                <c:pt idx="83">
                  <c:v>19784.62007272616</c:v>
                </c:pt>
                <c:pt idx="84">
                  <c:v>30138.722735533345</c:v>
                </c:pt>
                <c:pt idx="85">
                  <c:v>19404.967979653651</c:v>
                </c:pt>
                <c:pt idx="86">
                  <c:v>25695.354203107883</c:v>
                </c:pt>
                <c:pt idx="87">
                  <c:v>-2955.1718573751859</c:v>
                </c:pt>
                <c:pt idx="88">
                  <c:v>1850.2828848104691</c:v>
                </c:pt>
                <c:pt idx="89">
                  <c:v>39912.210764877324</c:v>
                </c:pt>
                <c:pt idx="90">
                  <c:v>38216.027035786741</c:v>
                </c:pt>
                <c:pt idx="91">
                  <c:v>9611.4499229750072</c:v>
                </c:pt>
                <c:pt idx="92">
                  <c:v>36095.588440909283</c:v>
                </c:pt>
                <c:pt idx="93">
                  <c:v>51635.80503077808</c:v>
                </c:pt>
                <c:pt idx="94">
                  <c:v>16241.92665606126</c:v>
                </c:pt>
                <c:pt idx="95">
                  <c:v>36523.419139998325</c:v>
                </c:pt>
                <c:pt idx="96">
                  <c:v>-19492.917605529394</c:v>
                </c:pt>
                <c:pt idx="97">
                  <c:v>-35554.280310732865</c:v>
                </c:pt>
                <c:pt idx="98">
                  <c:v>-28351.317884460266</c:v>
                </c:pt>
                <c:pt idx="99">
                  <c:v>-1554.6687667040096</c:v>
                </c:pt>
                <c:pt idx="100">
                  <c:v>-9788.4821941151167</c:v>
                </c:pt>
                <c:pt idx="101">
                  <c:v>1169.6635328168632</c:v>
                </c:pt>
                <c:pt idx="102">
                  <c:v>22240.347170679888</c:v>
                </c:pt>
                <c:pt idx="103">
                  <c:v>17415.189962884469</c:v>
                </c:pt>
                <c:pt idx="104">
                  <c:v>33216.274518880731</c:v>
                </c:pt>
                <c:pt idx="105">
                  <c:v>6745.8720339449646</c:v>
                </c:pt>
                <c:pt idx="106">
                  <c:v>32729.805922559492</c:v>
                </c:pt>
                <c:pt idx="107">
                  <c:v>41048.426496060652</c:v>
                </c:pt>
                <c:pt idx="108">
                  <c:v>729.13270732853562</c:v>
                </c:pt>
                <c:pt idx="109">
                  <c:v>-10376.545107484038</c:v>
                </c:pt>
                <c:pt idx="110">
                  <c:v>-6768.0284943737788</c:v>
                </c:pt>
                <c:pt idx="111">
                  <c:v>4147.6648793428903</c:v>
                </c:pt>
                <c:pt idx="112">
                  <c:v>15423.723399908136</c:v>
                </c:pt>
                <c:pt idx="113">
                  <c:v>10430.600235285616</c:v>
                </c:pt>
                <c:pt idx="114">
                  <c:v>29329.736594211077</c:v>
                </c:pt>
                <c:pt idx="115">
                  <c:v>23021.06689003497</c:v>
                </c:pt>
                <c:pt idx="116">
                  <c:v>8804.8894388627377</c:v>
                </c:pt>
                <c:pt idx="117">
                  <c:v>51776.219621259632</c:v>
                </c:pt>
                <c:pt idx="118">
                  <c:v>3971.9384645455866</c:v>
                </c:pt>
                <c:pt idx="119">
                  <c:v>53830.180329126684</c:v>
                </c:pt>
                <c:pt idx="120">
                  <c:v>5379.886552509357</c:v>
                </c:pt>
                <c:pt idx="121">
                  <c:v>-7347.3259622298938</c:v>
                </c:pt>
                <c:pt idx="122">
                  <c:v>-15375.831219873886</c:v>
                </c:pt>
                <c:pt idx="123">
                  <c:v>-61926.659389424429</c:v>
                </c:pt>
                <c:pt idx="124">
                  <c:v>-38594.630190086027</c:v>
                </c:pt>
                <c:pt idx="125">
                  <c:v>-14183.088298041082</c:v>
                </c:pt>
                <c:pt idx="126">
                  <c:v>-21154.813168106833</c:v>
                </c:pt>
                <c:pt idx="127">
                  <c:v>10086.001148894313</c:v>
                </c:pt>
                <c:pt idx="128">
                  <c:v>1513.5581352370791</c:v>
                </c:pt>
                <c:pt idx="129">
                  <c:v>-43167.685643382953</c:v>
                </c:pt>
                <c:pt idx="130">
                  <c:v>-27052.789387817902</c:v>
                </c:pt>
                <c:pt idx="131">
                  <c:v>167.54784016450867</c:v>
                </c:pt>
                <c:pt idx="132">
                  <c:v>-22628.323607254308</c:v>
                </c:pt>
                <c:pt idx="133">
                  <c:v>-18634.17184369883</c:v>
                </c:pt>
                <c:pt idx="134">
                  <c:v>-32281.619685765967</c:v>
                </c:pt>
                <c:pt idx="135">
                  <c:v>-18792.978580692521</c:v>
                </c:pt>
                <c:pt idx="136">
                  <c:v>-33046.780591408227</c:v>
                </c:pt>
                <c:pt idx="137">
                  <c:v>-30466.630998794048</c:v>
                </c:pt>
                <c:pt idx="138">
                  <c:v>294.8978237414849</c:v>
                </c:pt>
                <c:pt idx="139">
                  <c:v>-13678.943126949394</c:v>
                </c:pt>
                <c:pt idx="140">
                  <c:v>15560.159857781662</c:v>
                </c:pt>
                <c:pt idx="141">
                  <c:v>1958.1345725660212</c:v>
                </c:pt>
                <c:pt idx="142">
                  <c:v>995.22225318808341</c:v>
                </c:pt>
                <c:pt idx="143">
                  <c:v>37756.903441791743</c:v>
                </c:pt>
                <c:pt idx="144">
                  <c:v>-33110.116619401204</c:v>
                </c:pt>
                <c:pt idx="145">
                  <c:v>-9074.4710397105082</c:v>
                </c:pt>
                <c:pt idx="146">
                  <c:v>1177.5387556872156</c:v>
                </c:pt>
                <c:pt idx="147">
                  <c:v>-21540.983190922794</c:v>
                </c:pt>
                <c:pt idx="148">
                  <c:v>-9237.8947618735838</c:v>
                </c:pt>
                <c:pt idx="149">
                  <c:v>-17522.45797503565</c:v>
                </c:pt>
                <c:pt idx="150">
                  <c:v>-45686.807672262279</c:v>
                </c:pt>
                <c:pt idx="151">
                  <c:v>-29426.410233103379</c:v>
                </c:pt>
                <c:pt idx="152">
                  <c:v>2042.6825671954139</c:v>
                </c:pt>
                <c:pt idx="153">
                  <c:v>13941.080771179113</c:v>
                </c:pt>
                <c:pt idx="154">
                  <c:v>-11997.792466056126</c:v>
                </c:pt>
                <c:pt idx="155">
                  <c:v>12458.590999223059</c:v>
                </c:pt>
                <c:pt idx="156">
                  <c:v>-27140.322447323386</c:v>
                </c:pt>
                <c:pt idx="157">
                  <c:v>-49438.032036845485</c:v>
                </c:pt>
                <c:pt idx="158">
                  <c:v>-30670.334698684863</c:v>
                </c:pt>
                <c:pt idx="159">
                  <c:v>-49879.670878458681</c:v>
                </c:pt>
                <c:pt idx="160">
                  <c:v>-17173.397402729199</c:v>
                </c:pt>
                <c:pt idx="161">
                  <c:v>9731.5917791811517</c:v>
                </c:pt>
                <c:pt idx="162">
                  <c:v>-18613.76088775933</c:v>
                </c:pt>
                <c:pt idx="163">
                  <c:v>-31239.516256152536</c:v>
                </c:pt>
                <c:pt idx="164">
                  <c:v>-32720.689441290102</c:v>
                </c:pt>
                <c:pt idx="165">
                  <c:v>-9820.8803315834375</c:v>
                </c:pt>
                <c:pt idx="166">
                  <c:v>-27387.638194974686</c:v>
                </c:pt>
                <c:pt idx="167">
                  <c:v>-32437.23181777983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B7B-4046-A7D2-32A944EA34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2970480"/>
        <c:axId val="254154640"/>
      </c:scatterChart>
      <c:valAx>
        <c:axId val="5297048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"/>
                  <a:t>X1</a:t>
                </a:r>
              </a:p>
            </c:rich>
          </c:tx>
          <c:overlay val="0"/>
        </c:title>
        <c:numFmt formatCode="#,##0" sourceLinked="1"/>
        <c:majorTickMark val="out"/>
        <c:minorTickMark val="none"/>
        <c:tickLblPos val="nextTo"/>
        <c:crossAx val="254154640"/>
        <c:crosses val="autoZero"/>
        <c:crossBetween val="midCat"/>
      </c:valAx>
      <c:valAx>
        <c:axId val="254154640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ru-RU"/>
                  <a:t>Остатки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2970480"/>
        <c:crosses val="autoZero"/>
        <c:crossBetween val="midCat"/>
      </c:valAx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"/>
              <a:t>X2 </a:t>
            </a:r>
            <a:r>
              <a:rPr lang="ru-RU"/>
              <a:t>График остатков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>
              <a:noFill/>
            </a:ln>
          </c:spPr>
          <c:xVal>
            <c:numRef>
              <c:f>'Модель 1'!$C$2:$C$169</c:f>
              <c:numCache>
                <c:formatCode>#,##0</c:formatCode>
                <c:ptCount val="168"/>
                <c:pt idx="0">
                  <c:v>63293</c:v>
                </c:pt>
                <c:pt idx="1">
                  <c:v>52978</c:v>
                </c:pt>
                <c:pt idx="2">
                  <c:v>54020</c:v>
                </c:pt>
                <c:pt idx="3">
                  <c:v>71826</c:v>
                </c:pt>
                <c:pt idx="4">
                  <c:v>87050</c:v>
                </c:pt>
                <c:pt idx="5">
                  <c:v>91321</c:v>
                </c:pt>
                <c:pt idx="6">
                  <c:v>95031</c:v>
                </c:pt>
                <c:pt idx="7">
                  <c:v>100551</c:v>
                </c:pt>
                <c:pt idx="8">
                  <c:v>110988</c:v>
                </c:pt>
                <c:pt idx="9">
                  <c:v>110396</c:v>
                </c:pt>
                <c:pt idx="10">
                  <c:v>91037</c:v>
                </c:pt>
                <c:pt idx="11">
                  <c:v>127609</c:v>
                </c:pt>
                <c:pt idx="12">
                  <c:v>64531</c:v>
                </c:pt>
                <c:pt idx="13">
                  <c:v>58025</c:v>
                </c:pt>
                <c:pt idx="14">
                  <c:v>68453</c:v>
                </c:pt>
                <c:pt idx="15">
                  <c:v>62429</c:v>
                </c:pt>
                <c:pt idx="16">
                  <c:v>70328</c:v>
                </c:pt>
                <c:pt idx="17">
                  <c:v>93121</c:v>
                </c:pt>
                <c:pt idx="18">
                  <c:v>67880</c:v>
                </c:pt>
                <c:pt idx="19">
                  <c:v>120034</c:v>
                </c:pt>
                <c:pt idx="20">
                  <c:v>136077</c:v>
                </c:pt>
                <c:pt idx="21">
                  <c:v>105521</c:v>
                </c:pt>
                <c:pt idx="22">
                  <c:v>190033</c:v>
                </c:pt>
                <c:pt idx="23">
                  <c:v>117333</c:v>
                </c:pt>
                <c:pt idx="24">
                  <c:v>16384</c:v>
                </c:pt>
                <c:pt idx="25">
                  <c:v>14200</c:v>
                </c:pt>
                <c:pt idx="26">
                  <c:v>19886</c:v>
                </c:pt>
                <c:pt idx="27">
                  <c:v>16536</c:v>
                </c:pt>
                <c:pt idx="28">
                  <c:v>22776</c:v>
                </c:pt>
                <c:pt idx="29">
                  <c:v>21066</c:v>
                </c:pt>
                <c:pt idx="30">
                  <c:v>21783</c:v>
                </c:pt>
                <c:pt idx="31">
                  <c:v>29029</c:v>
                </c:pt>
                <c:pt idx="32">
                  <c:v>22722</c:v>
                </c:pt>
                <c:pt idx="33">
                  <c:v>33385</c:v>
                </c:pt>
                <c:pt idx="34">
                  <c:v>38462</c:v>
                </c:pt>
                <c:pt idx="35">
                  <c:v>30983</c:v>
                </c:pt>
                <c:pt idx="36">
                  <c:v>23574</c:v>
                </c:pt>
                <c:pt idx="37">
                  <c:v>29613</c:v>
                </c:pt>
                <c:pt idx="38">
                  <c:v>42927</c:v>
                </c:pt>
                <c:pt idx="39">
                  <c:v>40576</c:v>
                </c:pt>
                <c:pt idx="40">
                  <c:v>32570</c:v>
                </c:pt>
                <c:pt idx="41">
                  <c:v>44798</c:v>
                </c:pt>
                <c:pt idx="42">
                  <c:v>38093</c:v>
                </c:pt>
                <c:pt idx="43">
                  <c:v>37533</c:v>
                </c:pt>
                <c:pt idx="44">
                  <c:v>44092</c:v>
                </c:pt>
                <c:pt idx="45">
                  <c:v>63175</c:v>
                </c:pt>
                <c:pt idx="46">
                  <c:v>76327</c:v>
                </c:pt>
                <c:pt idx="47">
                  <c:v>80694</c:v>
                </c:pt>
                <c:pt idx="48">
                  <c:v>33427</c:v>
                </c:pt>
                <c:pt idx="49">
                  <c:v>67522</c:v>
                </c:pt>
                <c:pt idx="50">
                  <c:v>58949</c:v>
                </c:pt>
                <c:pt idx="51">
                  <c:v>41794</c:v>
                </c:pt>
                <c:pt idx="52">
                  <c:v>47759</c:v>
                </c:pt>
                <c:pt idx="53">
                  <c:v>56965</c:v>
                </c:pt>
                <c:pt idx="54">
                  <c:v>61449</c:v>
                </c:pt>
                <c:pt idx="55">
                  <c:v>57358</c:v>
                </c:pt>
                <c:pt idx="56">
                  <c:v>46793</c:v>
                </c:pt>
                <c:pt idx="57">
                  <c:v>77867</c:v>
                </c:pt>
                <c:pt idx="58">
                  <c:v>109178</c:v>
                </c:pt>
                <c:pt idx="59">
                  <c:v>99001</c:v>
                </c:pt>
                <c:pt idx="60">
                  <c:v>40446</c:v>
                </c:pt>
                <c:pt idx="61">
                  <c:v>37155</c:v>
                </c:pt>
                <c:pt idx="62">
                  <c:v>45781</c:v>
                </c:pt>
                <c:pt idx="63">
                  <c:v>42122</c:v>
                </c:pt>
                <c:pt idx="64">
                  <c:v>51740</c:v>
                </c:pt>
                <c:pt idx="65">
                  <c:v>73622</c:v>
                </c:pt>
                <c:pt idx="66">
                  <c:v>54394</c:v>
                </c:pt>
                <c:pt idx="67">
                  <c:v>72798</c:v>
                </c:pt>
                <c:pt idx="68">
                  <c:v>73286</c:v>
                </c:pt>
                <c:pt idx="69">
                  <c:v>90050</c:v>
                </c:pt>
                <c:pt idx="70">
                  <c:v>78306</c:v>
                </c:pt>
                <c:pt idx="71">
                  <c:v>152751</c:v>
                </c:pt>
                <c:pt idx="72">
                  <c:v>58295</c:v>
                </c:pt>
                <c:pt idx="73">
                  <c:v>69190</c:v>
                </c:pt>
                <c:pt idx="74">
                  <c:v>59599</c:v>
                </c:pt>
                <c:pt idx="75">
                  <c:v>75596</c:v>
                </c:pt>
                <c:pt idx="76">
                  <c:v>74525</c:v>
                </c:pt>
                <c:pt idx="77">
                  <c:v>112648</c:v>
                </c:pt>
                <c:pt idx="78">
                  <c:v>98663</c:v>
                </c:pt>
                <c:pt idx="79">
                  <c:v>89795</c:v>
                </c:pt>
                <c:pt idx="80">
                  <c:v>130334</c:v>
                </c:pt>
                <c:pt idx="81">
                  <c:v>103159</c:v>
                </c:pt>
                <c:pt idx="82">
                  <c:v>81258</c:v>
                </c:pt>
                <c:pt idx="83">
                  <c:v>162392</c:v>
                </c:pt>
                <c:pt idx="84">
                  <c:v>28143</c:v>
                </c:pt>
                <c:pt idx="85">
                  <c:v>41718</c:v>
                </c:pt>
                <c:pt idx="86">
                  <c:v>43368</c:v>
                </c:pt>
                <c:pt idx="87">
                  <c:v>55228</c:v>
                </c:pt>
                <c:pt idx="88">
                  <c:v>61064</c:v>
                </c:pt>
                <c:pt idx="89">
                  <c:v>57715</c:v>
                </c:pt>
                <c:pt idx="90">
                  <c:v>72256</c:v>
                </c:pt>
                <c:pt idx="91">
                  <c:v>50178</c:v>
                </c:pt>
                <c:pt idx="92">
                  <c:v>65144</c:v>
                </c:pt>
                <c:pt idx="93">
                  <c:v>86246</c:v>
                </c:pt>
                <c:pt idx="94">
                  <c:v>103292</c:v>
                </c:pt>
                <c:pt idx="95">
                  <c:v>95657</c:v>
                </c:pt>
                <c:pt idx="96">
                  <c:v>18081</c:v>
                </c:pt>
                <c:pt idx="97">
                  <c:v>21386</c:v>
                </c:pt>
                <c:pt idx="98">
                  <c:v>26734</c:v>
                </c:pt>
                <c:pt idx="99">
                  <c:v>28048</c:v>
                </c:pt>
                <c:pt idx="100">
                  <c:v>20207</c:v>
                </c:pt>
                <c:pt idx="101">
                  <c:v>30295</c:v>
                </c:pt>
                <c:pt idx="102">
                  <c:v>31594</c:v>
                </c:pt>
                <c:pt idx="103">
                  <c:v>32669</c:v>
                </c:pt>
                <c:pt idx="104">
                  <c:v>33223</c:v>
                </c:pt>
                <c:pt idx="105">
                  <c:v>40474</c:v>
                </c:pt>
                <c:pt idx="106">
                  <c:v>41692</c:v>
                </c:pt>
                <c:pt idx="107">
                  <c:v>37341</c:v>
                </c:pt>
                <c:pt idx="108">
                  <c:v>26446</c:v>
                </c:pt>
                <c:pt idx="109">
                  <c:v>50389</c:v>
                </c:pt>
                <c:pt idx="110">
                  <c:v>59168</c:v>
                </c:pt>
                <c:pt idx="111">
                  <c:v>51364</c:v>
                </c:pt>
                <c:pt idx="112">
                  <c:v>39415</c:v>
                </c:pt>
                <c:pt idx="113">
                  <c:v>67160</c:v>
                </c:pt>
                <c:pt idx="114">
                  <c:v>59818</c:v>
                </c:pt>
                <c:pt idx="115">
                  <c:v>63598</c:v>
                </c:pt>
                <c:pt idx="116">
                  <c:v>86509</c:v>
                </c:pt>
                <c:pt idx="117">
                  <c:v>98584</c:v>
                </c:pt>
                <c:pt idx="118">
                  <c:v>114049</c:v>
                </c:pt>
                <c:pt idx="119">
                  <c:v>91684</c:v>
                </c:pt>
                <c:pt idx="120">
                  <c:v>32329</c:v>
                </c:pt>
                <c:pt idx="121">
                  <c:v>35120</c:v>
                </c:pt>
                <c:pt idx="122">
                  <c:v>48255</c:v>
                </c:pt>
                <c:pt idx="123">
                  <c:v>47882</c:v>
                </c:pt>
                <c:pt idx="124">
                  <c:v>51773</c:v>
                </c:pt>
                <c:pt idx="125">
                  <c:v>45946</c:v>
                </c:pt>
                <c:pt idx="126">
                  <c:v>70696</c:v>
                </c:pt>
                <c:pt idx="127">
                  <c:v>61354</c:v>
                </c:pt>
                <c:pt idx="128">
                  <c:v>57142</c:v>
                </c:pt>
                <c:pt idx="129">
                  <c:v>68521</c:v>
                </c:pt>
                <c:pt idx="130">
                  <c:v>96205</c:v>
                </c:pt>
                <c:pt idx="131">
                  <c:v>103327</c:v>
                </c:pt>
                <c:pt idx="132">
                  <c:v>31152</c:v>
                </c:pt>
                <c:pt idx="133">
                  <c:v>28317</c:v>
                </c:pt>
                <c:pt idx="134">
                  <c:v>34138</c:v>
                </c:pt>
                <c:pt idx="135">
                  <c:v>29098</c:v>
                </c:pt>
                <c:pt idx="136">
                  <c:v>28311</c:v>
                </c:pt>
                <c:pt idx="137">
                  <c:v>38514</c:v>
                </c:pt>
                <c:pt idx="138">
                  <c:v>40640</c:v>
                </c:pt>
                <c:pt idx="139">
                  <c:v>41223</c:v>
                </c:pt>
                <c:pt idx="140">
                  <c:v>61896</c:v>
                </c:pt>
                <c:pt idx="141">
                  <c:v>63329</c:v>
                </c:pt>
                <c:pt idx="142">
                  <c:v>52399</c:v>
                </c:pt>
                <c:pt idx="143">
                  <c:v>77080</c:v>
                </c:pt>
                <c:pt idx="144">
                  <c:v>68778</c:v>
                </c:pt>
                <c:pt idx="145">
                  <c:v>84045</c:v>
                </c:pt>
                <c:pt idx="146">
                  <c:v>55200</c:v>
                </c:pt>
                <c:pt idx="147">
                  <c:v>49118</c:v>
                </c:pt>
                <c:pt idx="148">
                  <c:v>66131</c:v>
                </c:pt>
                <c:pt idx="149">
                  <c:v>82101</c:v>
                </c:pt>
                <c:pt idx="150">
                  <c:v>92769</c:v>
                </c:pt>
                <c:pt idx="151">
                  <c:v>112563</c:v>
                </c:pt>
                <c:pt idx="152">
                  <c:v>98381</c:v>
                </c:pt>
                <c:pt idx="153">
                  <c:v>133185</c:v>
                </c:pt>
                <c:pt idx="154">
                  <c:v>106974</c:v>
                </c:pt>
                <c:pt idx="155">
                  <c:v>128744</c:v>
                </c:pt>
                <c:pt idx="156">
                  <c:v>77226</c:v>
                </c:pt>
                <c:pt idx="157">
                  <c:v>109230</c:v>
                </c:pt>
                <c:pt idx="158">
                  <c:v>105704</c:v>
                </c:pt>
                <c:pt idx="159">
                  <c:v>147709</c:v>
                </c:pt>
                <c:pt idx="160">
                  <c:v>133034</c:v>
                </c:pt>
                <c:pt idx="161">
                  <c:v>120917</c:v>
                </c:pt>
                <c:pt idx="162">
                  <c:v>164108</c:v>
                </c:pt>
                <c:pt idx="163">
                  <c:v>137469</c:v>
                </c:pt>
                <c:pt idx="164">
                  <c:v>275436</c:v>
                </c:pt>
                <c:pt idx="165">
                  <c:v>222284</c:v>
                </c:pt>
                <c:pt idx="166">
                  <c:v>226387</c:v>
                </c:pt>
                <c:pt idx="167">
                  <c:v>267491</c:v>
                </c:pt>
              </c:numCache>
            </c:numRef>
          </c:xVal>
          <c:yVal>
            <c:numRef>
              <c:f>'Модель 1'!$G$27:$G$194</c:f>
              <c:numCache>
                <c:formatCode>General</c:formatCode>
                <c:ptCount val="168"/>
                <c:pt idx="0">
                  <c:v>-10128.368613731232</c:v>
                </c:pt>
                <c:pt idx="1">
                  <c:v>-110.33246515624342</c:v>
                </c:pt>
                <c:pt idx="2">
                  <c:v>-2583.8194149592018</c:v>
                </c:pt>
                <c:pt idx="3">
                  <c:v>-10707.086282748962</c:v>
                </c:pt>
                <c:pt idx="4">
                  <c:v>-7560.4935584538034</c:v>
                </c:pt>
                <c:pt idx="5">
                  <c:v>19090.566169456928</c:v>
                </c:pt>
                <c:pt idx="6">
                  <c:v>1804.7301075482101</c:v>
                </c:pt>
                <c:pt idx="7">
                  <c:v>15158.595617783896</c:v>
                </c:pt>
                <c:pt idx="8">
                  <c:v>-14523.787598990544</c:v>
                </c:pt>
                <c:pt idx="9">
                  <c:v>20972.542259730399</c:v>
                </c:pt>
                <c:pt idx="10">
                  <c:v>54985.052285864193</c:v>
                </c:pt>
                <c:pt idx="11">
                  <c:v>27247.975472605496</c:v>
                </c:pt>
                <c:pt idx="12">
                  <c:v>-62655.667669875344</c:v>
                </c:pt>
                <c:pt idx="13">
                  <c:v>-37542.484253109258</c:v>
                </c:pt>
                <c:pt idx="14">
                  <c:v>-31274.293245772307</c:v>
                </c:pt>
                <c:pt idx="15">
                  <c:v>-17285.687205949769</c:v>
                </c:pt>
                <c:pt idx="16">
                  <c:v>-17429.146272854909</c:v>
                </c:pt>
                <c:pt idx="17">
                  <c:v>-32781.02544134995</c:v>
                </c:pt>
                <c:pt idx="18">
                  <c:v>-20921.99864916876</c:v>
                </c:pt>
                <c:pt idx="19">
                  <c:v>-12743.693462915893</c:v>
                </c:pt>
                <c:pt idx="20">
                  <c:v>-27757.043843549793</c:v>
                </c:pt>
                <c:pt idx="21">
                  <c:v>-20949.222408711677</c:v>
                </c:pt>
                <c:pt idx="22">
                  <c:v>-25306.220436365053</c:v>
                </c:pt>
                <c:pt idx="23">
                  <c:v>17819.340317505877</c:v>
                </c:pt>
                <c:pt idx="24">
                  <c:v>-19343.255212451098</c:v>
                </c:pt>
                <c:pt idx="25">
                  <c:v>-32751.315242975805</c:v>
                </c:pt>
                <c:pt idx="26">
                  <c:v>-7113.9595980213489</c:v>
                </c:pt>
                <c:pt idx="27">
                  <c:v>-26949.109997826454</c:v>
                </c:pt>
                <c:pt idx="28">
                  <c:v>2482.2266725467343</c:v>
                </c:pt>
                <c:pt idx="29">
                  <c:v>3450.7831004725886</c:v>
                </c:pt>
                <c:pt idx="30">
                  <c:v>-12184.735266838543</c:v>
                </c:pt>
                <c:pt idx="31">
                  <c:v>-26111.925133960904</c:v>
                </c:pt>
                <c:pt idx="32">
                  <c:v>-9956.3678036754136</c:v>
                </c:pt>
                <c:pt idx="33">
                  <c:v>708.30095342802815</c:v>
                </c:pt>
                <c:pt idx="34">
                  <c:v>4967.78001492162</c:v>
                </c:pt>
                <c:pt idx="35">
                  <c:v>20139.070352717594</c:v>
                </c:pt>
                <c:pt idx="36">
                  <c:v>-18467.632251464936</c:v>
                </c:pt>
                <c:pt idx="37">
                  <c:v>-16621.618499024014</c:v>
                </c:pt>
                <c:pt idx="38">
                  <c:v>10361.101589156489</c:v>
                </c:pt>
                <c:pt idx="39">
                  <c:v>-15828.595365454443</c:v>
                </c:pt>
                <c:pt idx="40">
                  <c:v>-26879.977244023205</c:v>
                </c:pt>
                <c:pt idx="41">
                  <c:v>-3899.869378080446</c:v>
                </c:pt>
                <c:pt idx="42">
                  <c:v>30161.850208651857</c:v>
                </c:pt>
                <c:pt idx="43">
                  <c:v>-7422.6389918684727</c:v>
                </c:pt>
                <c:pt idx="44">
                  <c:v>9818.53196941223</c:v>
                </c:pt>
                <c:pt idx="45">
                  <c:v>1352.7002872353769</c:v>
                </c:pt>
                <c:pt idx="46">
                  <c:v>26953.634692636086</c:v>
                </c:pt>
                <c:pt idx="47">
                  <c:v>13397.332870452374</c:v>
                </c:pt>
                <c:pt idx="48">
                  <c:v>-18808.743966071313</c:v>
                </c:pt>
                <c:pt idx="49">
                  <c:v>-17203.03724049608</c:v>
                </c:pt>
                <c:pt idx="50">
                  <c:v>2825.4745101895533</c:v>
                </c:pt>
                <c:pt idx="51">
                  <c:v>3943.8509490015858</c:v>
                </c:pt>
                <c:pt idx="52">
                  <c:v>15075.511844117224</c:v>
                </c:pt>
                <c:pt idx="53">
                  <c:v>-3566.1492798450636</c:v>
                </c:pt>
                <c:pt idx="54">
                  <c:v>34706.664165468072</c:v>
                </c:pt>
                <c:pt idx="55">
                  <c:v>23555.384764156974</c:v>
                </c:pt>
                <c:pt idx="56">
                  <c:v>29107.403230237891</c:v>
                </c:pt>
                <c:pt idx="57">
                  <c:v>32048.768695121282</c:v>
                </c:pt>
                <c:pt idx="58">
                  <c:v>80511.789260027901</c:v>
                </c:pt>
                <c:pt idx="59">
                  <c:v>31298.10186234588</c:v>
                </c:pt>
                <c:pt idx="60">
                  <c:v>-40443.585379212629</c:v>
                </c:pt>
                <c:pt idx="61">
                  <c:v>-13118.215830771427</c:v>
                </c:pt>
                <c:pt idx="62">
                  <c:v>-62.767071844806196</c:v>
                </c:pt>
                <c:pt idx="63">
                  <c:v>-10078.208886595763</c:v>
                </c:pt>
                <c:pt idx="64">
                  <c:v>1567.4412874912377</c:v>
                </c:pt>
                <c:pt idx="65">
                  <c:v>-18118.818613659678</c:v>
                </c:pt>
                <c:pt idx="66">
                  <c:v>-4260.2576346907881</c:v>
                </c:pt>
                <c:pt idx="67">
                  <c:v>22167.603448941372</c:v>
                </c:pt>
                <c:pt idx="68">
                  <c:v>19445.890308755013</c:v>
                </c:pt>
                <c:pt idx="69">
                  <c:v>5155.4095600731089</c:v>
                </c:pt>
                <c:pt idx="70">
                  <c:v>31750.08575393178</c:v>
                </c:pt>
                <c:pt idx="71">
                  <c:v>23905.196836320218</c:v>
                </c:pt>
                <c:pt idx="72">
                  <c:v>513.48339290102012</c:v>
                </c:pt>
                <c:pt idx="73">
                  <c:v>7922.2520103760762</c:v>
                </c:pt>
                <c:pt idx="74">
                  <c:v>25209.222063262074</c:v>
                </c:pt>
                <c:pt idx="75">
                  <c:v>3905.0208098097646</c:v>
                </c:pt>
                <c:pt idx="76">
                  <c:v>35528.160913242085</c:v>
                </c:pt>
                <c:pt idx="77">
                  <c:v>-2330.6318811165111</c:v>
                </c:pt>
                <c:pt idx="78">
                  <c:v>49821.089824107185</c:v>
                </c:pt>
                <c:pt idx="79">
                  <c:v>12654.40416140022</c:v>
                </c:pt>
                <c:pt idx="80">
                  <c:v>46838.383959356463</c:v>
                </c:pt>
                <c:pt idx="81">
                  <c:v>42691.06122408458</c:v>
                </c:pt>
                <c:pt idx="82">
                  <c:v>63849.20551974565</c:v>
                </c:pt>
                <c:pt idx="83">
                  <c:v>19784.62007272616</c:v>
                </c:pt>
                <c:pt idx="84">
                  <c:v>30138.722735533345</c:v>
                </c:pt>
                <c:pt idx="85">
                  <c:v>19404.967979653651</c:v>
                </c:pt>
                <c:pt idx="86">
                  <c:v>25695.354203107883</c:v>
                </c:pt>
                <c:pt idx="87">
                  <c:v>-2955.1718573751859</c:v>
                </c:pt>
                <c:pt idx="88">
                  <c:v>1850.2828848104691</c:v>
                </c:pt>
                <c:pt idx="89">
                  <c:v>39912.210764877324</c:v>
                </c:pt>
                <c:pt idx="90">
                  <c:v>38216.027035786741</c:v>
                </c:pt>
                <c:pt idx="91">
                  <c:v>9611.4499229750072</c:v>
                </c:pt>
                <c:pt idx="92">
                  <c:v>36095.588440909283</c:v>
                </c:pt>
                <c:pt idx="93">
                  <c:v>51635.80503077808</c:v>
                </c:pt>
                <c:pt idx="94">
                  <c:v>16241.92665606126</c:v>
                </c:pt>
                <c:pt idx="95">
                  <c:v>36523.419139998325</c:v>
                </c:pt>
                <c:pt idx="96">
                  <c:v>-19492.917605529394</c:v>
                </c:pt>
                <c:pt idx="97">
                  <c:v>-35554.280310732865</c:v>
                </c:pt>
                <c:pt idx="98">
                  <c:v>-28351.317884460266</c:v>
                </c:pt>
                <c:pt idx="99">
                  <c:v>-1554.6687667040096</c:v>
                </c:pt>
                <c:pt idx="100">
                  <c:v>-9788.4821941151167</c:v>
                </c:pt>
                <c:pt idx="101">
                  <c:v>1169.6635328168632</c:v>
                </c:pt>
                <c:pt idx="102">
                  <c:v>22240.347170679888</c:v>
                </c:pt>
                <c:pt idx="103">
                  <c:v>17415.189962884469</c:v>
                </c:pt>
                <c:pt idx="104">
                  <c:v>33216.274518880731</c:v>
                </c:pt>
                <c:pt idx="105">
                  <c:v>6745.8720339449646</c:v>
                </c:pt>
                <c:pt idx="106">
                  <c:v>32729.805922559492</c:v>
                </c:pt>
                <c:pt idx="107">
                  <c:v>41048.426496060652</c:v>
                </c:pt>
                <c:pt idx="108">
                  <c:v>729.13270732853562</c:v>
                </c:pt>
                <c:pt idx="109">
                  <c:v>-10376.545107484038</c:v>
                </c:pt>
                <c:pt idx="110">
                  <c:v>-6768.0284943737788</c:v>
                </c:pt>
                <c:pt idx="111">
                  <c:v>4147.6648793428903</c:v>
                </c:pt>
                <c:pt idx="112">
                  <c:v>15423.723399908136</c:v>
                </c:pt>
                <c:pt idx="113">
                  <c:v>10430.600235285616</c:v>
                </c:pt>
                <c:pt idx="114">
                  <c:v>29329.736594211077</c:v>
                </c:pt>
                <c:pt idx="115">
                  <c:v>23021.06689003497</c:v>
                </c:pt>
                <c:pt idx="116">
                  <c:v>8804.8894388627377</c:v>
                </c:pt>
                <c:pt idx="117">
                  <c:v>51776.219621259632</c:v>
                </c:pt>
                <c:pt idx="118">
                  <c:v>3971.9384645455866</c:v>
                </c:pt>
                <c:pt idx="119">
                  <c:v>53830.180329126684</c:v>
                </c:pt>
                <c:pt idx="120">
                  <c:v>5379.886552509357</c:v>
                </c:pt>
                <c:pt idx="121">
                  <c:v>-7347.3259622298938</c:v>
                </c:pt>
                <c:pt idx="122">
                  <c:v>-15375.831219873886</c:v>
                </c:pt>
                <c:pt idx="123">
                  <c:v>-61926.659389424429</c:v>
                </c:pt>
                <c:pt idx="124">
                  <c:v>-38594.630190086027</c:v>
                </c:pt>
                <c:pt idx="125">
                  <c:v>-14183.088298041082</c:v>
                </c:pt>
                <c:pt idx="126">
                  <c:v>-21154.813168106833</c:v>
                </c:pt>
                <c:pt idx="127">
                  <c:v>10086.001148894313</c:v>
                </c:pt>
                <c:pt idx="128">
                  <c:v>1513.5581352370791</c:v>
                </c:pt>
                <c:pt idx="129">
                  <c:v>-43167.685643382953</c:v>
                </c:pt>
                <c:pt idx="130">
                  <c:v>-27052.789387817902</c:v>
                </c:pt>
                <c:pt idx="131">
                  <c:v>167.54784016450867</c:v>
                </c:pt>
                <c:pt idx="132">
                  <c:v>-22628.323607254308</c:v>
                </c:pt>
                <c:pt idx="133">
                  <c:v>-18634.17184369883</c:v>
                </c:pt>
                <c:pt idx="134">
                  <c:v>-32281.619685765967</c:v>
                </c:pt>
                <c:pt idx="135">
                  <c:v>-18792.978580692521</c:v>
                </c:pt>
                <c:pt idx="136">
                  <c:v>-33046.780591408227</c:v>
                </c:pt>
                <c:pt idx="137">
                  <c:v>-30466.630998794048</c:v>
                </c:pt>
                <c:pt idx="138">
                  <c:v>294.8978237414849</c:v>
                </c:pt>
                <c:pt idx="139">
                  <c:v>-13678.943126949394</c:v>
                </c:pt>
                <c:pt idx="140">
                  <c:v>15560.159857781662</c:v>
                </c:pt>
                <c:pt idx="141">
                  <c:v>1958.1345725660212</c:v>
                </c:pt>
                <c:pt idx="142">
                  <c:v>995.22225318808341</c:v>
                </c:pt>
                <c:pt idx="143">
                  <c:v>37756.903441791743</c:v>
                </c:pt>
                <c:pt idx="144">
                  <c:v>-33110.116619401204</c:v>
                </c:pt>
                <c:pt idx="145">
                  <c:v>-9074.4710397105082</c:v>
                </c:pt>
                <c:pt idx="146">
                  <c:v>1177.5387556872156</c:v>
                </c:pt>
                <c:pt idx="147">
                  <c:v>-21540.983190922794</c:v>
                </c:pt>
                <c:pt idx="148">
                  <c:v>-9237.8947618735838</c:v>
                </c:pt>
                <c:pt idx="149">
                  <c:v>-17522.45797503565</c:v>
                </c:pt>
                <c:pt idx="150">
                  <c:v>-45686.807672262279</c:v>
                </c:pt>
                <c:pt idx="151">
                  <c:v>-29426.410233103379</c:v>
                </c:pt>
                <c:pt idx="152">
                  <c:v>2042.6825671954139</c:v>
                </c:pt>
                <c:pt idx="153">
                  <c:v>13941.080771179113</c:v>
                </c:pt>
                <c:pt idx="154">
                  <c:v>-11997.792466056126</c:v>
                </c:pt>
                <c:pt idx="155">
                  <c:v>12458.590999223059</c:v>
                </c:pt>
                <c:pt idx="156">
                  <c:v>-27140.322447323386</c:v>
                </c:pt>
                <c:pt idx="157">
                  <c:v>-49438.032036845485</c:v>
                </c:pt>
                <c:pt idx="158">
                  <c:v>-30670.334698684863</c:v>
                </c:pt>
                <c:pt idx="159">
                  <c:v>-49879.670878458681</c:v>
                </c:pt>
                <c:pt idx="160">
                  <c:v>-17173.397402729199</c:v>
                </c:pt>
                <c:pt idx="161">
                  <c:v>9731.5917791811517</c:v>
                </c:pt>
                <c:pt idx="162">
                  <c:v>-18613.76088775933</c:v>
                </c:pt>
                <c:pt idx="163">
                  <c:v>-31239.516256152536</c:v>
                </c:pt>
                <c:pt idx="164">
                  <c:v>-32720.689441290102</c:v>
                </c:pt>
                <c:pt idx="165">
                  <c:v>-9820.8803315834375</c:v>
                </c:pt>
                <c:pt idx="166">
                  <c:v>-27387.638194974686</c:v>
                </c:pt>
                <c:pt idx="167">
                  <c:v>-32437.23181777983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124-6443-AC29-80D593F2E9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78382528"/>
        <c:axId val="278384176"/>
      </c:scatterChart>
      <c:valAx>
        <c:axId val="27838252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"/>
                  <a:t>X2</a:t>
                </a:r>
              </a:p>
            </c:rich>
          </c:tx>
          <c:overlay val="0"/>
        </c:title>
        <c:numFmt formatCode="#,##0" sourceLinked="1"/>
        <c:majorTickMark val="out"/>
        <c:minorTickMark val="none"/>
        <c:tickLblPos val="nextTo"/>
        <c:crossAx val="278384176"/>
        <c:crosses val="autoZero"/>
        <c:crossBetween val="midCat"/>
      </c:valAx>
      <c:valAx>
        <c:axId val="27838417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ru-RU"/>
                  <a:t>Остатки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278382528"/>
        <c:crosses val="autoZero"/>
        <c:crossBetween val="midCat"/>
      </c:valAx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"/>
              <a:t>X1 </a:t>
            </a:r>
            <a:r>
              <a:rPr lang="ru-RU"/>
              <a:t>График остатков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>
              <a:noFill/>
            </a:ln>
          </c:spPr>
          <c:xVal>
            <c:numRef>
              <c:f>'Модель 2'!$B$2:$B$169</c:f>
              <c:numCache>
                <c:formatCode>#,##0</c:formatCode>
                <c:ptCount val="168"/>
                <c:pt idx="0">
                  <c:v>62643</c:v>
                </c:pt>
                <c:pt idx="1">
                  <c:v>72704</c:v>
                </c:pt>
                <c:pt idx="2">
                  <c:v>81669</c:v>
                </c:pt>
                <c:pt idx="3">
                  <c:v>87792</c:v>
                </c:pt>
                <c:pt idx="4">
                  <c:v>106131</c:v>
                </c:pt>
                <c:pt idx="5">
                  <c:v>89359</c:v>
                </c:pt>
                <c:pt idx="6">
                  <c:v>106199</c:v>
                </c:pt>
                <c:pt idx="7">
                  <c:v>110381</c:v>
                </c:pt>
                <c:pt idx="8">
                  <c:v>192377</c:v>
                </c:pt>
                <c:pt idx="9">
                  <c:v>137104</c:v>
                </c:pt>
                <c:pt idx="10">
                  <c:v>137874</c:v>
                </c:pt>
                <c:pt idx="11">
                  <c:v>158034</c:v>
                </c:pt>
                <c:pt idx="12">
                  <c:v>119974</c:v>
                </c:pt>
                <c:pt idx="13">
                  <c:v>113680</c:v>
                </c:pt>
                <c:pt idx="14">
                  <c:v>108532</c:v>
                </c:pt>
                <c:pt idx="15">
                  <c:v>121353</c:v>
                </c:pt>
                <c:pt idx="16">
                  <c:v>114942</c:v>
                </c:pt>
                <c:pt idx="17">
                  <c:v>150227</c:v>
                </c:pt>
                <c:pt idx="18">
                  <c:v>152834</c:v>
                </c:pt>
                <c:pt idx="19">
                  <c:v>154299</c:v>
                </c:pt>
                <c:pt idx="20">
                  <c:v>196541</c:v>
                </c:pt>
                <c:pt idx="21">
                  <c:v>187838</c:v>
                </c:pt>
                <c:pt idx="22">
                  <c:v>221856</c:v>
                </c:pt>
                <c:pt idx="23">
                  <c:v>186830</c:v>
                </c:pt>
                <c:pt idx="24">
                  <c:v>52098</c:v>
                </c:pt>
                <c:pt idx="25">
                  <c:v>55375</c:v>
                </c:pt>
                <c:pt idx="26">
                  <c:v>65737</c:v>
                </c:pt>
                <c:pt idx="27">
                  <c:v>86686</c:v>
                </c:pt>
                <c:pt idx="28">
                  <c:v>72903</c:v>
                </c:pt>
                <c:pt idx="29">
                  <c:v>79308</c:v>
                </c:pt>
                <c:pt idx="30">
                  <c:v>113814</c:v>
                </c:pt>
                <c:pt idx="31">
                  <c:v>117073</c:v>
                </c:pt>
                <c:pt idx="32">
                  <c:v>127428</c:v>
                </c:pt>
                <c:pt idx="33">
                  <c:v>125317</c:v>
                </c:pt>
                <c:pt idx="34">
                  <c:v>139440</c:v>
                </c:pt>
                <c:pt idx="35">
                  <c:v>136570</c:v>
                </c:pt>
                <c:pt idx="36">
                  <c:v>63811</c:v>
                </c:pt>
                <c:pt idx="37">
                  <c:v>70223</c:v>
                </c:pt>
                <c:pt idx="38">
                  <c:v>70333</c:v>
                </c:pt>
                <c:pt idx="39">
                  <c:v>119621</c:v>
                </c:pt>
                <c:pt idx="40">
                  <c:v>138396</c:v>
                </c:pt>
                <c:pt idx="41">
                  <c:v>104147</c:v>
                </c:pt>
                <c:pt idx="42">
                  <c:v>109978</c:v>
                </c:pt>
                <c:pt idx="43">
                  <c:v>138871</c:v>
                </c:pt>
                <c:pt idx="44">
                  <c:v>135912</c:v>
                </c:pt>
                <c:pt idx="45">
                  <c:v>160657</c:v>
                </c:pt>
                <c:pt idx="46">
                  <c:v>152937</c:v>
                </c:pt>
                <c:pt idx="47">
                  <c:v>177961</c:v>
                </c:pt>
                <c:pt idx="48">
                  <c:v>63378</c:v>
                </c:pt>
                <c:pt idx="49">
                  <c:v>73180</c:v>
                </c:pt>
                <c:pt idx="50">
                  <c:v>70482</c:v>
                </c:pt>
                <c:pt idx="51">
                  <c:v>74813</c:v>
                </c:pt>
                <c:pt idx="52">
                  <c:v>72402</c:v>
                </c:pt>
                <c:pt idx="53">
                  <c:v>101090</c:v>
                </c:pt>
                <c:pt idx="54">
                  <c:v>92636</c:v>
                </c:pt>
                <c:pt idx="55">
                  <c:v>97965</c:v>
                </c:pt>
                <c:pt idx="56">
                  <c:v>125383</c:v>
                </c:pt>
                <c:pt idx="57">
                  <c:v>131954</c:v>
                </c:pt>
                <c:pt idx="58">
                  <c:v>97451</c:v>
                </c:pt>
                <c:pt idx="59">
                  <c:v>165659</c:v>
                </c:pt>
                <c:pt idx="60">
                  <c:v>83495</c:v>
                </c:pt>
                <c:pt idx="61">
                  <c:v>62852</c:v>
                </c:pt>
                <c:pt idx="62">
                  <c:v>72703</c:v>
                </c:pt>
                <c:pt idx="63">
                  <c:v>85443</c:v>
                </c:pt>
                <c:pt idx="64">
                  <c:v>88286</c:v>
                </c:pt>
                <c:pt idx="65">
                  <c:v>114134</c:v>
                </c:pt>
                <c:pt idx="66">
                  <c:v>98764</c:v>
                </c:pt>
                <c:pt idx="67">
                  <c:v>113353</c:v>
                </c:pt>
                <c:pt idx="68">
                  <c:v>108532</c:v>
                </c:pt>
                <c:pt idx="69">
                  <c:v>157646</c:v>
                </c:pt>
                <c:pt idx="70">
                  <c:v>129343</c:v>
                </c:pt>
                <c:pt idx="71">
                  <c:v>156617</c:v>
                </c:pt>
                <c:pt idx="72">
                  <c:v>58604</c:v>
                </c:pt>
                <c:pt idx="73">
                  <c:v>64009</c:v>
                </c:pt>
                <c:pt idx="74">
                  <c:v>63807</c:v>
                </c:pt>
                <c:pt idx="75">
                  <c:v>82820</c:v>
                </c:pt>
                <c:pt idx="76">
                  <c:v>84059</c:v>
                </c:pt>
                <c:pt idx="77">
                  <c:v>87108</c:v>
                </c:pt>
                <c:pt idx="78">
                  <c:v>89471</c:v>
                </c:pt>
                <c:pt idx="79">
                  <c:v>140350</c:v>
                </c:pt>
                <c:pt idx="80">
                  <c:v>104644</c:v>
                </c:pt>
                <c:pt idx="81">
                  <c:v>136164</c:v>
                </c:pt>
                <c:pt idx="82">
                  <c:v>125437</c:v>
                </c:pt>
                <c:pt idx="83">
                  <c:v>178536</c:v>
                </c:pt>
                <c:pt idx="84">
                  <c:v>55133</c:v>
                </c:pt>
                <c:pt idx="85">
                  <c:v>71447</c:v>
                </c:pt>
                <c:pt idx="86">
                  <c:v>63586</c:v>
                </c:pt>
                <c:pt idx="87">
                  <c:v>101116</c:v>
                </c:pt>
                <c:pt idx="88">
                  <c:v>112971</c:v>
                </c:pt>
                <c:pt idx="89">
                  <c:v>81343</c:v>
                </c:pt>
                <c:pt idx="90">
                  <c:v>96530</c:v>
                </c:pt>
                <c:pt idx="91">
                  <c:v>125476</c:v>
                </c:pt>
                <c:pt idx="92">
                  <c:v>116469</c:v>
                </c:pt>
                <c:pt idx="93">
                  <c:v>111795</c:v>
                </c:pt>
                <c:pt idx="94">
                  <c:v>204157</c:v>
                </c:pt>
                <c:pt idx="95">
                  <c:v>160788</c:v>
                </c:pt>
                <c:pt idx="96">
                  <c:v>40383</c:v>
                </c:pt>
                <c:pt idx="97">
                  <c:v>43237</c:v>
                </c:pt>
                <c:pt idx="98">
                  <c:v>56274</c:v>
                </c:pt>
                <c:pt idx="99">
                  <c:v>51041</c:v>
                </c:pt>
                <c:pt idx="100">
                  <c:v>66194</c:v>
                </c:pt>
                <c:pt idx="101">
                  <c:v>63061</c:v>
                </c:pt>
                <c:pt idx="102">
                  <c:v>61403</c:v>
                </c:pt>
                <c:pt idx="103">
                  <c:v>61017</c:v>
                </c:pt>
                <c:pt idx="104">
                  <c:v>66444</c:v>
                </c:pt>
                <c:pt idx="105">
                  <c:v>90937</c:v>
                </c:pt>
                <c:pt idx="106">
                  <c:v>92111</c:v>
                </c:pt>
                <c:pt idx="107">
                  <c:v>90313</c:v>
                </c:pt>
                <c:pt idx="108">
                  <c:v>42772</c:v>
                </c:pt>
                <c:pt idx="109">
                  <c:v>62380</c:v>
                </c:pt>
                <c:pt idx="110">
                  <c:v>56226</c:v>
                </c:pt>
                <c:pt idx="111">
                  <c:v>52940</c:v>
                </c:pt>
                <c:pt idx="112">
                  <c:v>67795</c:v>
                </c:pt>
                <c:pt idx="113">
                  <c:v>90942</c:v>
                </c:pt>
                <c:pt idx="114">
                  <c:v>84010</c:v>
                </c:pt>
                <c:pt idx="115">
                  <c:v>96959</c:v>
                </c:pt>
                <c:pt idx="116">
                  <c:v>118444</c:v>
                </c:pt>
                <c:pt idx="117">
                  <c:v>101397</c:v>
                </c:pt>
                <c:pt idx="118">
                  <c:v>161933</c:v>
                </c:pt>
                <c:pt idx="119">
                  <c:v>114407</c:v>
                </c:pt>
                <c:pt idx="120">
                  <c:v>82655</c:v>
                </c:pt>
                <c:pt idx="121">
                  <c:v>105670</c:v>
                </c:pt>
                <c:pt idx="122">
                  <c:v>110304</c:v>
                </c:pt>
                <c:pt idx="123">
                  <c:v>152864</c:v>
                </c:pt>
                <c:pt idx="124">
                  <c:v>153890</c:v>
                </c:pt>
                <c:pt idx="125">
                  <c:v>155968</c:v>
                </c:pt>
                <c:pt idx="126">
                  <c:v>158357</c:v>
                </c:pt>
                <c:pt idx="127">
                  <c:v>152465</c:v>
                </c:pt>
                <c:pt idx="128">
                  <c:v>181847</c:v>
                </c:pt>
                <c:pt idx="129">
                  <c:v>249129</c:v>
                </c:pt>
                <c:pt idx="130">
                  <c:v>231174</c:v>
                </c:pt>
                <c:pt idx="131">
                  <c:v>232728</c:v>
                </c:pt>
                <c:pt idx="132">
                  <c:v>55142</c:v>
                </c:pt>
                <c:pt idx="133">
                  <c:v>57541</c:v>
                </c:pt>
                <c:pt idx="134">
                  <c:v>72362</c:v>
                </c:pt>
                <c:pt idx="135">
                  <c:v>84564</c:v>
                </c:pt>
                <c:pt idx="136">
                  <c:v>83296</c:v>
                </c:pt>
                <c:pt idx="137">
                  <c:v>96072</c:v>
                </c:pt>
                <c:pt idx="138">
                  <c:v>70037</c:v>
                </c:pt>
                <c:pt idx="139">
                  <c:v>102669</c:v>
                </c:pt>
                <c:pt idx="140">
                  <c:v>104695</c:v>
                </c:pt>
                <c:pt idx="141">
                  <c:v>148669</c:v>
                </c:pt>
                <c:pt idx="142">
                  <c:v>161202</c:v>
                </c:pt>
                <c:pt idx="143">
                  <c:v>115558</c:v>
                </c:pt>
                <c:pt idx="144">
                  <c:v>51726</c:v>
                </c:pt>
                <c:pt idx="145">
                  <c:v>47179</c:v>
                </c:pt>
                <c:pt idx="146">
                  <c:v>53984</c:v>
                </c:pt>
                <c:pt idx="147">
                  <c:v>80066</c:v>
                </c:pt>
                <c:pt idx="148">
                  <c:v>88806</c:v>
                </c:pt>
                <c:pt idx="149">
                  <c:v>94664</c:v>
                </c:pt>
                <c:pt idx="150">
                  <c:v>103846</c:v>
                </c:pt>
                <c:pt idx="151">
                  <c:v>108418</c:v>
                </c:pt>
                <c:pt idx="152">
                  <c:v>114116</c:v>
                </c:pt>
                <c:pt idx="153">
                  <c:v>104839</c:v>
                </c:pt>
                <c:pt idx="154">
                  <c:v>117272</c:v>
                </c:pt>
                <c:pt idx="155">
                  <c:v>133241</c:v>
                </c:pt>
                <c:pt idx="156">
                  <c:v>57169</c:v>
                </c:pt>
                <c:pt idx="157">
                  <c:v>66689</c:v>
                </c:pt>
                <c:pt idx="158">
                  <c:v>76945</c:v>
                </c:pt>
                <c:pt idx="159">
                  <c:v>93794</c:v>
                </c:pt>
                <c:pt idx="160">
                  <c:v>90675</c:v>
                </c:pt>
                <c:pt idx="161">
                  <c:v>74374</c:v>
                </c:pt>
                <c:pt idx="162">
                  <c:v>104495</c:v>
                </c:pt>
                <c:pt idx="163">
                  <c:v>125279</c:v>
                </c:pt>
                <c:pt idx="164">
                  <c:v>99028</c:v>
                </c:pt>
                <c:pt idx="165">
                  <c:v>122281</c:v>
                </c:pt>
                <c:pt idx="166">
                  <c:v>162971</c:v>
                </c:pt>
                <c:pt idx="167">
                  <c:v>172911</c:v>
                </c:pt>
              </c:numCache>
            </c:numRef>
          </c:xVal>
          <c:yVal>
            <c:numRef>
              <c:f>'Модель 2'!$H$28:$H$195</c:f>
              <c:numCache>
                <c:formatCode>General</c:formatCode>
                <c:ptCount val="168"/>
                <c:pt idx="0">
                  <c:v>-11923.054764733737</c:v>
                </c:pt>
                <c:pt idx="1">
                  <c:v>-2090.2517419427168</c:v>
                </c:pt>
                <c:pt idx="2">
                  <c:v>-1322.1713833841495</c:v>
                </c:pt>
                <c:pt idx="3">
                  <c:v>-5650.3352660771925</c:v>
                </c:pt>
                <c:pt idx="4">
                  <c:v>-15461.906121959444</c:v>
                </c:pt>
                <c:pt idx="5">
                  <c:v>12903.275165876083</c:v>
                </c:pt>
                <c:pt idx="6">
                  <c:v>3189.4038708787411</c:v>
                </c:pt>
                <c:pt idx="7">
                  <c:v>13413.015785190597</c:v>
                </c:pt>
                <c:pt idx="8">
                  <c:v>-27160.954870897112</c:v>
                </c:pt>
                <c:pt idx="9">
                  <c:v>20883.504485150625</c:v>
                </c:pt>
                <c:pt idx="10">
                  <c:v>58905.090075065091</c:v>
                </c:pt>
                <c:pt idx="11">
                  <c:v>26054.011152695515</c:v>
                </c:pt>
                <c:pt idx="12">
                  <c:v>-61833.252270965284</c:v>
                </c:pt>
                <c:pt idx="13">
                  <c:v>-38341.236690868333</c:v>
                </c:pt>
                <c:pt idx="14">
                  <c:v>-26317.101681795757</c:v>
                </c:pt>
                <c:pt idx="15">
                  <c:v>-10763.377209467057</c:v>
                </c:pt>
                <c:pt idx="16">
                  <c:v>-20144.904466649896</c:v>
                </c:pt>
                <c:pt idx="17">
                  <c:v>-32688.832740157202</c:v>
                </c:pt>
                <c:pt idx="18">
                  <c:v>-26882.956361166609</c:v>
                </c:pt>
                <c:pt idx="19">
                  <c:v>-16161.36545473017</c:v>
                </c:pt>
                <c:pt idx="20">
                  <c:v>-26857.773565081181</c:v>
                </c:pt>
                <c:pt idx="21">
                  <c:v>-28566.503621716285</c:v>
                </c:pt>
                <c:pt idx="22">
                  <c:v>-20211.996508943615</c:v>
                </c:pt>
                <c:pt idx="23">
                  <c:v>26881.743574694963</c:v>
                </c:pt>
                <c:pt idx="24">
                  <c:v>-26469.106542191788</c:v>
                </c:pt>
                <c:pt idx="25">
                  <c:v>-32580.392795716296</c:v>
                </c:pt>
                <c:pt idx="26">
                  <c:v>3083.1950259715959</c:v>
                </c:pt>
                <c:pt idx="27">
                  <c:v>-23633.958291345247</c:v>
                </c:pt>
                <c:pt idx="28">
                  <c:v>-3824.610104966996</c:v>
                </c:pt>
                <c:pt idx="29">
                  <c:v>10150.410996417224</c:v>
                </c:pt>
                <c:pt idx="30">
                  <c:v>-14926.60514272569</c:v>
                </c:pt>
                <c:pt idx="31">
                  <c:v>-20796.063918357599</c:v>
                </c:pt>
                <c:pt idx="32">
                  <c:v>-11145.733091709786</c:v>
                </c:pt>
                <c:pt idx="33">
                  <c:v>-60.087527366064023</c:v>
                </c:pt>
                <c:pt idx="34">
                  <c:v>1169.2139250496984</c:v>
                </c:pt>
                <c:pt idx="35">
                  <c:v>18542.891486923007</c:v>
                </c:pt>
                <c:pt idx="36">
                  <c:v>-16662.700275536132</c:v>
                </c:pt>
                <c:pt idx="37">
                  <c:v>-15086.307362182532</c:v>
                </c:pt>
                <c:pt idx="38">
                  <c:v>12016.098890393798</c:v>
                </c:pt>
                <c:pt idx="39">
                  <c:v>-10994.735757435381</c:v>
                </c:pt>
                <c:pt idx="40">
                  <c:v>-30829.353431728086</c:v>
                </c:pt>
                <c:pt idx="41">
                  <c:v>1241.1510654608719</c:v>
                </c:pt>
                <c:pt idx="42">
                  <c:v>29858.311505904538</c:v>
                </c:pt>
                <c:pt idx="43">
                  <c:v>3291.4480853649147</c:v>
                </c:pt>
                <c:pt idx="44">
                  <c:v>12595.016855706868</c:v>
                </c:pt>
                <c:pt idx="45">
                  <c:v>-4832.2378801520681</c:v>
                </c:pt>
                <c:pt idx="46">
                  <c:v>23019.953317209729</c:v>
                </c:pt>
                <c:pt idx="47">
                  <c:v>19481.666972077335</c:v>
                </c:pt>
                <c:pt idx="48">
                  <c:v>-16879.334837971081</c:v>
                </c:pt>
                <c:pt idx="49">
                  <c:v>-17485.474257422291</c:v>
                </c:pt>
                <c:pt idx="50">
                  <c:v>7905.9126972097729</c:v>
                </c:pt>
                <c:pt idx="51">
                  <c:v>10537.812191080069</c:v>
                </c:pt>
                <c:pt idx="52">
                  <c:v>14685.731722188619</c:v>
                </c:pt>
                <c:pt idx="53">
                  <c:v>-1489.0929532527807</c:v>
                </c:pt>
                <c:pt idx="54">
                  <c:v>35108.746319427621</c:v>
                </c:pt>
                <c:pt idx="55">
                  <c:v>25915.7908679432</c:v>
                </c:pt>
                <c:pt idx="56">
                  <c:v>31297.990398279508</c:v>
                </c:pt>
                <c:pt idx="57">
                  <c:v>30110.962651124923</c:v>
                </c:pt>
                <c:pt idx="58">
                  <c:v>75614.567419744213</c:v>
                </c:pt>
                <c:pt idx="59">
                  <c:v>23795.198744642083</c:v>
                </c:pt>
                <c:pt idx="60">
                  <c:v>-38650.510666447401</c:v>
                </c:pt>
                <c:pt idx="61">
                  <c:v>-15938.343775286659</c:v>
                </c:pt>
                <c:pt idx="62">
                  <c:v>-6754.8534863352834</c:v>
                </c:pt>
                <c:pt idx="63">
                  <c:v>-14266.274385899917</c:v>
                </c:pt>
                <c:pt idx="64">
                  <c:v>-96.236185451998608</c:v>
                </c:pt>
                <c:pt idx="65">
                  <c:v>-9650.0643153639976</c:v>
                </c:pt>
                <c:pt idx="66">
                  <c:v>-2829.857149925374</c:v>
                </c:pt>
                <c:pt idx="67">
                  <c:v>23846.570626229135</c:v>
                </c:pt>
                <c:pt idx="68">
                  <c:v>22968.856101685902</c:v>
                </c:pt>
                <c:pt idx="69">
                  <c:v>7065.9121688274899</c:v>
                </c:pt>
                <c:pt idx="70">
                  <c:v>25525.040228806087</c:v>
                </c:pt>
                <c:pt idx="71">
                  <c:v>28460.942024245742</c:v>
                </c:pt>
                <c:pt idx="72">
                  <c:v>-3199.9594294472772</c:v>
                </c:pt>
                <c:pt idx="73">
                  <c:v>13381.568869390467</c:v>
                </c:pt>
                <c:pt idx="74">
                  <c:v>23910.307012045756</c:v>
                </c:pt>
                <c:pt idx="75">
                  <c:v>5114.6041706468386</c:v>
                </c:pt>
                <c:pt idx="76">
                  <c:v>34228.759473264567</c:v>
                </c:pt>
                <c:pt idx="77">
                  <c:v>3388.0686628202093</c:v>
                </c:pt>
                <c:pt idx="78">
                  <c:v>47399.974311957165</c:v>
                </c:pt>
                <c:pt idx="79">
                  <c:v>18811.589915900899</c:v>
                </c:pt>
                <c:pt idx="80">
                  <c:v>44317.035333141132</c:v>
                </c:pt>
                <c:pt idx="81">
                  <c:v>35040.640968204709</c:v>
                </c:pt>
                <c:pt idx="82">
                  <c:v>58523.330276891182</c:v>
                </c:pt>
                <c:pt idx="83">
                  <c:v>12538.64917634934</c:v>
                </c:pt>
                <c:pt idx="84">
                  <c:v>27268.423468363006</c:v>
                </c:pt>
                <c:pt idx="85">
                  <c:v>5454.5738098996808</c:v>
                </c:pt>
                <c:pt idx="86">
                  <c:v>24757.56908496187</c:v>
                </c:pt>
                <c:pt idx="87">
                  <c:v>-4343.8601569805469</c:v>
                </c:pt>
                <c:pt idx="88">
                  <c:v>1351.0977096589049</c:v>
                </c:pt>
                <c:pt idx="89">
                  <c:v>38161.963596215821</c:v>
                </c:pt>
                <c:pt idx="90">
                  <c:v>43200.553915697121</c:v>
                </c:pt>
                <c:pt idx="91">
                  <c:v>10215.219033266214</c:v>
                </c:pt>
                <c:pt idx="92">
                  <c:v>41772.491407144233</c:v>
                </c:pt>
                <c:pt idx="93">
                  <c:v>51050.821584078891</c:v>
                </c:pt>
                <c:pt idx="94">
                  <c:v>16051.134883126942</c:v>
                </c:pt>
                <c:pt idx="95">
                  <c:v>37344.192332989885</c:v>
                </c:pt>
                <c:pt idx="96">
                  <c:v>-20271.265338553829</c:v>
                </c:pt>
                <c:pt idx="97">
                  <c:v>-31422.881358388069</c:v>
                </c:pt>
                <c:pt idx="98">
                  <c:v>-24737.237058472878</c:v>
                </c:pt>
                <c:pt idx="99">
                  <c:v>2634.6623937811237</c:v>
                </c:pt>
                <c:pt idx="100">
                  <c:v>-10001.077121996001</c:v>
                </c:pt>
                <c:pt idx="101">
                  <c:v>-7939.3164749244752</c:v>
                </c:pt>
                <c:pt idx="102">
                  <c:v>11848.846728225792</c:v>
                </c:pt>
                <c:pt idx="103">
                  <c:v>18692.259612725175</c:v>
                </c:pt>
                <c:pt idx="104">
                  <c:v>34861.191404988174</c:v>
                </c:pt>
                <c:pt idx="105">
                  <c:v>7823.9170492690464</c:v>
                </c:pt>
                <c:pt idx="106">
                  <c:v>28135.924260045431</c:v>
                </c:pt>
                <c:pt idx="107">
                  <c:v>41340.602542076289</c:v>
                </c:pt>
                <c:pt idx="108">
                  <c:v>3105.4617103156343</c:v>
                </c:pt>
                <c:pt idx="109">
                  <c:v>-8822.5291240869847</c:v>
                </c:pt>
                <c:pt idx="110">
                  <c:v>-1987.6581452759565</c:v>
                </c:pt>
                <c:pt idx="111">
                  <c:v>-232.76760167098837</c:v>
                </c:pt>
                <c:pt idx="112">
                  <c:v>14697.170358686184</c:v>
                </c:pt>
                <c:pt idx="113">
                  <c:v>1490.1431464859052</c:v>
                </c:pt>
                <c:pt idx="114">
                  <c:v>27126.465036725771</c:v>
                </c:pt>
                <c:pt idx="115">
                  <c:v>36397.569787267013</c:v>
                </c:pt>
                <c:pt idx="116">
                  <c:v>9074.0851592783583</c:v>
                </c:pt>
                <c:pt idx="117">
                  <c:v>49000.497555331647</c:v>
                </c:pt>
                <c:pt idx="118">
                  <c:v>-2507.8279738642741</c:v>
                </c:pt>
                <c:pt idx="119">
                  <c:v>52624.032745192904</c:v>
                </c:pt>
                <c:pt idx="120">
                  <c:v>1350.7198975744832</c:v>
                </c:pt>
                <c:pt idx="121">
                  <c:v>-6738.2505863924162</c:v>
                </c:pt>
                <c:pt idx="122">
                  <c:v>-4346.0255951865693</c:v>
                </c:pt>
                <c:pt idx="123">
                  <c:v>-57572.894925797125</c:v>
                </c:pt>
                <c:pt idx="124">
                  <c:v>-39448.795990599436</c:v>
                </c:pt>
                <c:pt idx="125">
                  <c:v>-15315.013769503101</c:v>
                </c:pt>
                <c:pt idx="126">
                  <c:v>-18864.729050398804</c:v>
                </c:pt>
                <c:pt idx="127">
                  <c:v>7296.1431716982624</c:v>
                </c:pt>
                <c:pt idx="128">
                  <c:v>-4443.0837258164538</c:v>
                </c:pt>
                <c:pt idx="129">
                  <c:v>-45807.088775583426</c:v>
                </c:pt>
                <c:pt idx="130">
                  <c:v>-23798.727425460587</c:v>
                </c:pt>
                <c:pt idx="131">
                  <c:v>1364.9756701426231</c:v>
                </c:pt>
                <c:pt idx="132">
                  <c:v>-27085.168928460887</c:v>
                </c:pt>
                <c:pt idx="133">
                  <c:v>-18167.720511281543</c:v>
                </c:pt>
                <c:pt idx="134">
                  <c:v>-28213.926028221264</c:v>
                </c:pt>
                <c:pt idx="135">
                  <c:v>-18849.219438435015</c:v>
                </c:pt>
                <c:pt idx="136">
                  <c:v>-34059.971627836552</c:v>
                </c:pt>
                <c:pt idx="137">
                  <c:v>-30436.242658620293</c:v>
                </c:pt>
                <c:pt idx="138">
                  <c:v>-570.76235231704777</c:v>
                </c:pt>
                <c:pt idx="139">
                  <c:v>766.81356476282235</c:v>
                </c:pt>
                <c:pt idx="140">
                  <c:v>14502.963108351891</c:v>
                </c:pt>
                <c:pt idx="141">
                  <c:v>386.97117509495001</c:v>
                </c:pt>
                <c:pt idx="142">
                  <c:v>3209.6461950996891</c:v>
                </c:pt>
                <c:pt idx="143">
                  <c:v>33765.17006312302</c:v>
                </c:pt>
                <c:pt idx="144">
                  <c:v>-37869.418678118964</c:v>
                </c:pt>
                <c:pt idx="145">
                  <c:v>-13134.994211427344</c:v>
                </c:pt>
                <c:pt idx="146">
                  <c:v>1056.1944439309591</c:v>
                </c:pt>
                <c:pt idx="147">
                  <c:v>-24540.840093905514</c:v>
                </c:pt>
                <c:pt idx="148">
                  <c:v>-14409.875244266994</c:v>
                </c:pt>
                <c:pt idx="149">
                  <c:v>-14321.003999691107</c:v>
                </c:pt>
                <c:pt idx="150">
                  <c:v>-38165.515079943987</c:v>
                </c:pt>
                <c:pt idx="151">
                  <c:v>-26651.286016634956</c:v>
                </c:pt>
                <c:pt idx="152">
                  <c:v>25.043749290925916</c:v>
                </c:pt>
                <c:pt idx="153">
                  <c:v>10466.6110183337</c:v>
                </c:pt>
                <c:pt idx="154">
                  <c:v>-10222.692943112022</c:v>
                </c:pt>
                <c:pt idx="155">
                  <c:v>13381.616387911374</c:v>
                </c:pt>
                <c:pt idx="156">
                  <c:v>-27610.402260929957</c:v>
                </c:pt>
                <c:pt idx="157">
                  <c:v>-51485.493984291097</c:v>
                </c:pt>
                <c:pt idx="158">
                  <c:v>-26452.176705736812</c:v>
                </c:pt>
                <c:pt idx="159">
                  <c:v>-53822.183824442793</c:v>
                </c:pt>
                <c:pt idx="160">
                  <c:v>-18263.706587705237</c:v>
                </c:pt>
                <c:pt idx="161">
                  <c:v>13090.541187778028</c:v>
                </c:pt>
                <c:pt idx="162">
                  <c:v>-25180.440039616951</c:v>
                </c:pt>
                <c:pt idx="163">
                  <c:v>-20639.045131840452</c:v>
                </c:pt>
                <c:pt idx="164">
                  <c:v>-28624.882493201934</c:v>
                </c:pt>
                <c:pt idx="165">
                  <c:v>-8966.4955506379483</c:v>
                </c:pt>
                <c:pt idx="166">
                  <c:v>-18883.253477429156</c:v>
                </c:pt>
                <c:pt idx="167">
                  <c:v>-35630.628165150876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F24-E244-AA93-9E6CAE5B2B0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58525776"/>
        <c:axId val="458435488"/>
      </c:scatterChart>
      <c:valAx>
        <c:axId val="45852577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"/>
                  <a:t>X1</a:t>
                </a:r>
              </a:p>
            </c:rich>
          </c:tx>
          <c:overlay val="0"/>
        </c:title>
        <c:numFmt formatCode="#,##0" sourceLinked="1"/>
        <c:majorTickMark val="out"/>
        <c:minorTickMark val="none"/>
        <c:tickLblPos val="nextTo"/>
        <c:crossAx val="458435488"/>
        <c:crosses val="autoZero"/>
        <c:crossBetween val="midCat"/>
      </c:valAx>
      <c:valAx>
        <c:axId val="458435488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ru-RU"/>
                  <a:t>Остатки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458525776"/>
        <c:crosses val="autoZero"/>
        <c:crossBetween val="midCat"/>
      </c:valAx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"/>
              <a:t>X2 </a:t>
            </a:r>
            <a:r>
              <a:rPr lang="ru-RU"/>
              <a:t>График остатков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>
              <a:noFill/>
            </a:ln>
          </c:spPr>
          <c:xVal>
            <c:numRef>
              <c:f>'Модель 2'!$C$2:$C$169</c:f>
              <c:numCache>
                <c:formatCode>#,##0</c:formatCode>
                <c:ptCount val="168"/>
                <c:pt idx="0">
                  <c:v>63293</c:v>
                </c:pt>
                <c:pt idx="1">
                  <c:v>52978</c:v>
                </c:pt>
                <c:pt idx="2">
                  <c:v>54020</c:v>
                </c:pt>
                <c:pt idx="3">
                  <c:v>71826</c:v>
                </c:pt>
                <c:pt idx="4">
                  <c:v>87050</c:v>
                </c:pt>
                <c:pt idx="5">
                  <c:v>91321</c:v>
                </c:pt>
                <c:pt idx="6">
                  <c:v>95031</c:v>
                </c:pt>
                <c:pt idx="7">
                  <c:v>100551</c:v>
                </c:pt>
                <c:pt idx="8">
                  <c:v>110988</c:v>
                </c:pt>
                <c:pt idx="9">
                  <c:v>110396</c:v>
                </c:pt>
                <c:pt idx="10">
                  <c:v>91037</c:v>
                </c:pt>
                <c:pt idx="11">
                  <c:v>127609</c:v>
                </c:pt>
                <c:pt idx="12">
                  <c:v>64531</c:v>
                </c:pt>
                <c:pt idx="13">
                  <c:v>58025</c:v>
                </c:pt>
                <c:pt idx="14">
                  <c:v>68453</c:v>
                </c:pt>
                <c:pt idx="15">
                  <c:v>62429</c:v>
                </c:pt>
                <c:pt idx="16">
                  <c:v>70328</c:v>
                </c:pt>
                <c:pt idx="17">
                  <c:v>93121</c:v>
                </c:pt>
                <c:pt idx="18">
                  <c:v>67880</c:v>
                </c:pt>
                <c:pt idx="19">
                  <c:v>120034</c:v>
                </c:pt>
                <c:pt idx="20">
                  <c:v>136077</c:v>
                </c:pt>
                <c:pt idx="21">
                  <c:v>105521</c:v>
                </c:pt>
                <c:pt idx="22">
                  <c:v>190033</c:v>
                </c:pt>
                <c:pt idx="23">
                  <c:v>117333</c:v>
                </c:pt>
                <c:pt idx="24">
                  <c:v>16384</c:v>
                </c:pt>
                <c:pt idx="25">
                  <c:v>14200</c:v>
                </c:pt>
                <c:pt idx="26">
                  <c:v>19886</c:v>
                </c:pt>
                <c:pt idx="27">
                  <c:v>16536</c:v>
                </c:pt>
                <c:pt idx="28">
                  <c:v>22776</c:v>
                </c:pt>
                <c:pt idx="29">
                  <c:v>21066</c:v>
                </c:pt>
                <c:pt idx="30">
                  <c:v>21783</c:v>
                </c:pt>
                <c:pt idx="31">
                  <c:v>29029</c:v>
                </c:pt>
                <c:pt idx="32">
                  <c:v>22722</c:v>
                </c:pt>
                <c:pt idx="33">
                  <c:v>33385</c:v>
                </c:pt>
                <c:pt idx="34">
                  <c:v>38462</c:v>
                </c:pt>
                <c:pt idx="35">
                  <c:v>30983</c:v>
                </c:pt>
                <c:pt idx="36">
                  <c:v>23574</c:v>
                </c:pt>
                <c:pt idx="37">
                  <c:v>29613</c:v>
                </c:pt>
                <c:pt idx="38">
                  <c:v>42927</c:v>
                </c:pt>
                <c:pt idx="39">
                  <c:v>40576</c:v>
                </c:pt>
                <c:pt idx="40">
                  <c:v>32570</c:v>
                </c:pt>
                <c:pt idx="41">
                  <c:v>44798</c:v>
                </c:pt>
                <c:pt idx="42">
                  <c:v>38093</c:v>
                </c:pt>
                <c:pt idx="43">
                  <c:v>37533</c:v>
                </c:pt>
                <c:pt idx="44">
                  <c:v>44092</c:v>
                </c:pt>
                <c:pt idx="45">
                  <c:v>63175</c:v>
                </c:pt>
                <c:pt idx="46">
                  <c:v>76327</c:v>
                </c:pt>
                <c:pt idx="47">
                  <c:v>80694</c:v>
                </c:pt>
                <c:pt idx="48">
                  <c:v>33427</c:v>
                </c:pt>
                <c:pt idx="49">
                  <c:v>67522</c:v>
                </c:pt>
                <c:pt idx="50">
                  <c:v>58949</c:v>
                </c:pt>
                <c:pt idx="51">
                  <c:v>41794</c:v>
                </c:pt>
                <c:pt idx="52">
                  <c:v>47759</c:v>
                </c:pt>
                <c:pt idx="53">
                  <c:v>56965</c:v>
                </c:pt>
                <c:pt idx="54">
                  <c:v>61449</c:v>
                </c:pt>
                <c:pt idx="55">
                  <c:v>57358</c:v>
                </c:pt>
                <c:pt idx="56">
                  <c:v>46793</c:v>
                </c:pt>
                <c:pt idx="57">
                  <c:v>77867</c:v>
                </c:pt>
                <c:pt idx="58">
                  <c:v>109178</c:v>
                </c:pt>
                <c:pt idx="59">
                  <c:v>99001</c:v>
                </c:pt>
                <c:pt idx="60">
                  <c:v>40446</c:v>
                </c:pt>
                <c:pt idx="61">
                  <c:v>37155</c:v>
                </c:pt>
                <c:pt idx="62">
                  <c:v>45781</c:v>
                </c:pt>
                <c:pt idx="63">
                  <c:v>42122</c:v>
                </c:pt>
                <c:pt idx="64">
                  <c:v>51740</c:v>
                </c:pt>
                <c:pt idx="65">
                  <c:v>73622</c:v>
                </c:pt>
                <c:pt idx="66">
                  <c:v>54394</c:v>
                </c:pt>
                <c:pt idx="67">
                  <c:v>72798</c:v>
                </c:pt>
                <c:pt idx="68">
                  <c:v>73286</c:v>
                </c:pt>
                <c:pt idx="69">
                  <c:v>90050</c:v>
                </c:pt>
                <c:pt idx="70">
                  <c:v>78306</c:v>
                </c:pt>
                <c:pt idx="71">
                  <c:v>152751</c:v>
                </c:pt>
                <c:pt idx="72">
                  <c:v>58295</c:v>
                </c:pt>
                <c:pt idx="73">
                  <c:v>69190</c:v>
                </c:pt>
                <c:pt idx="74">
                  <c:v>59599</c:v>
                </c:pt>
                <c:pt idx="75">
                  <c:v>75596</c:v>
                </c:pt>
                <c:pt idx="76">
                  <c:v>74525</c:v>
                </c:pt>
                <c:pt idx="77">
                  <c:v>112648</c:v>
                </c:pt>
                <c:pt idx="78">
                  <c:v>98663</c:v>
                </c:pt>
                <c:pt idx="79">
                  <c:v>89795</c:v>
                </c:pt>
                <c:pt idx="80">
                  <c:v>130334</c:v>
                </c:pt>
                <c:pt idx="81">
                  <c:v>103159</c:v>
                </c:pt>
                <c:pt idx="82">
                  <c:v>81258</c:v>
                </c:pt>
                <c:pt idx="83">
                  <c:v>162392</c:v>
                </c:pt>
                <c:pt idx="84">
                  <c:v>28143</c:v>
                </c:pt>
                <c:pt idx="85">
                  <c:v>41718</c:v>
                </c:pt>
                <c:pt idx="86">
                  <c:v>43368</c:v>
                </c:pt>
                <c:pt idx="87">
                  <c:v>55228</c:v>
                </c:pt>
                <c:pt idx="88">
                  <c:v>61064</c:v>
                </c:pt>
                <c:pt idx="89">
                  <c:v>57715</c:v>
                </c:pt>
                <c:pt idx="90">
                  <c:v>72256</c:v>
                </c:pt>
                <c:pt idx="91">
                  <c:v>50178</c:v>
                </c:pt>
                <c:pt idx="92">
                  <c:v>65144</c:v>
                </c:pt>
                <c:pt idx="93">
                  <c:v>86246</c:v>
                </c:pt>
                <c:pt idx="94">
                  <c:v>103292</c:v>
                </c:pt>
                <c:pt idx="95">
                  <c:v>95657</c:v>
                </c:pt>
                <c:pt idx="96">
                  <c:v>18081</c:v>
                </c:pt>
                <c:pt idx="97">
                  <c:v>21386</c:v>
                </c:pt>
                <c:pt idx="98">
                  <c:v>26734</c:v>
                </c:pt>
                <c:pt idx="99">
                  <c:v>28048</c:v>
                </c:pt>
                <c:pt idx="100">
                  <c:v>20207</c:v>
                </c:pt>
                <c:pt idx="101">
                  <c:v>30295</c:v>
                </c:pt>
                <c:pt idx="102">
                  <c:v>31594</c:v>
                </c:pt>
                <c:pt idx="103">
                  <c:v>32669</c:v>
                </c:pt>
                <c:pt idx="104">
                  <c:v>33223</c:v>
                </c:pt>
                <c:pt idx="105">
                  <c:v>40474</c:v>
                </c:pt>
                <c:pt idx="106">
                  <c:v>41692</c:v>
                </c:pt>
                <c:pt idx="107">
                  <c:v>37341</c:v>
                </c:pt>
                <c:pt idx="108">
                  <c:v>26446</c:v>
                </c:pt>
                <c:pt idx="109">
                  <c:v>50389</c:v>
                </c:pt>
                <c:pt idx="110">
                  <c:v>59168</c:v>
                </c:pt>
                <c:pt idx="111">
                  <c:v>51364</c:v>
                </c:pt>
                <c:pt idx="112">
                  <c:v>39415</c:v>
                </c:pt>
                <c:pt idx="113">
                  <c:v>67160</c:v>
                </c:pt>
                <c:pt idx="114">
                  <c:v>59818</c:v>
                </c:pt>
                <c:pt idx="115">
                  <c:v>63598</c:v>
                </c:pt>
                <c:pt idx="116">
                  <c:v>86509</c:v>
                </c:pt>
                <c:pt idx="117">
                  <c:v>98584</c:v>
                </c:pt>
                <c:pt idx="118">
                  <c:v>114049</c:v>
                </c:pt>
                <c:pt idx="119">
                  <c:v>91684</c:v>
                </c:pt>
                <c:pt idx="120">
                  <c:v>32329</c:v>
                </c:pt>
                <c:pt idx="121">
                  <c:v>35120</c:v>
                </c:pt>
                <c:pt idx="122">
                  <c:v>48255</c:v>
                </c:pt>
                <c:pt idx="123">
                  <c:v>47882</c:v>
                </c:pt>
                <c:pt idx="124">
                  <c:v>51773</c:v>
                </c:pt>
                <c:pt idx="125">
                  <c:v>45946</c:v>
                </c:pt>
                <c:pt idx="126">
                  <c:v>70696</c:v>
                </c:pt>
                <c:pt idx="127">
                  <c:v>61354</c:v>
                </c:pt>
                <c:pt idx="128">
                  <c:v>57142</c:v>
                </c:pt>
                <c:pt idx="129">
                  <c:v>68521</c:v>
                </c:pt>
                <c:pt idx="130">
                  <c:v>96205</c:v>
                </c:pt>
                <c:pt idx="131">
                  <c:v>103327</c:v>
                </c:pt>
                <c:pt idx="132">
                  <c:v>31152</c:v>
                </c:pt>
                <c:pt idx="133">
                  <c:v>28317</c:v>
                </c:pt>
                <c:pt idx="134">
                  <c:v>34138</c:v>
                </c:pt>
                <c:pt idx="135">
                  <c:v>29098</c:v>
                </c:pt>
                <c:pt idx="136">
                  <c:v>28311</c:v>
                </c:pt>
                <c:pt idx="137">
                  <c:v>38514</c:v>
                </c:pt>
                <c:pt idx="138">
                  <c:v>40640</c:v>
                </c:pt>
                <c:pt idx="139">
                  <c:v>41223</c:v>
                </c:pt>
                <c:pt idx="140">
                  <c:v>61896</c:v>
                </c:pt>
                <c:pt idx="141">
                  <c:v>63329</c:v>
                </c:pt>
                <c:pt idx="142">
                  <c:v>52399</c:v>
                </c:pt>
                <c:pt idx="143">
                  <c:v>77080</c:v>
                </c:pt>
                <c:pt idx="144">
                  <c:v>68778</c:v>
                </c:pt>
                <c:pt idx="145">
                  <c:v>84045</c:v>
                </c:pt>
                <c:pt idx="146">
                  <c:v>55200</c:v>
                </c:pt>
                <c:pt idx="147">
                  <c:v>49118</c:v>
                </c:pt>
                <c:pt idx="148">
                  <c:v>66131</c:v>
                </c:pt>
                <c:pt idx="149">
                  <c:v>82101</c:v>
                </c:pt>
                <c:pt idx="150">
                  <c:v>92769</c:v>
                </c:pt>
                <c:pt idx="151">
                  <c:v>112563</c:v>
                </c:pt>
                <c:pt idx="152">
                  <c:v>98381</c:v>
                </c:pt>
                <c:pt idx="153">
                  <c:v>133185</c:v>
                </c:pt>
                <c:pt idx="154">
                  <c:v>106974</c:v>
                </c:pt>
                <c:pt idx="155">
                  <c:v>128744</c:v>
                </c:pt>
                <c:pt idx="156">
                  <c:v>77226</c:v>
                </c:pt>
                <c:pt idx="157">
                  <c:v>109230</c:v>
                </c:pt>
                <c:pt idx="158">
                  <c:v>105704</c:v>
                </c:pt>
                <c:pt idx="159">
                  <c:v>147709</c:v>
                </c:pt>
                <c:pt idx="160">
                  <c:v>133034</c:v>
                </c:pt>
                <c:pt idx="161">
                  <c:v>120917</c:v>
                </c:pt>
                <c:pt idx="162">
                  <c:v>164108</c:v>
                </c:pt>
                <c:pt idx="163">
                  <c:v>137469</c:v>
                </c:pt>
                <c:pt idx="164">
                  <c:v>275436</c:v>
                </c:pt>
                <c:pt idx="165">
                  <c:v>222284</c:v>
                </c:pt>
                <c:pt idx="166">
                  <c:v>226387</c:v>
                </c:pt>
                <c:pt idx="167">
                  <c:v>267491</c:v>
                </c:pt>
              </c:numCache>
            </c:numRef>
          </c:xVal>
          <c:yVal>
            <c:numRef>
              <c:f>'Модель 2'!$H$28:$H$195</c:f>
              <c:numCache>
                <c:formatCode>General</c:formatCode>
                <c:ptCount val="168"/>
                <c:pt idx="0">
                  <c:v>-11923.054764733737</c:v>
                </c:pt>
                <c:pt idx="1">
                  <c:v>-2090.2517419427168</c:v>
                </c:pt>
                <c:pt idx="2">
                  <c:v>-1322.1713833841495</c:v>
                </c:pt>
                <c:pt idx="3">
                  <c:v>-5650.3352660771925</c:v>
                </c:pt>
                <c:pt idx="4">
                  <c:v>-15461.906121959444</c:v>
                </c:pt>
                <c:pt idx="5">
                  <c:v>12903.275165876083</c:v>
                </c:pt>
                <c:pt idx="6">
                  <c:v>3189.4038708787411</c:v>
                </c:pt>
                <c:pt idx="7">
                  <c:v>13413.015785190597</c:v>
                </c:pt>
                <c:pt idx="8">
                  <c:v>-27160.954870897112</c:v>
                </c:pt>
                <c:pt idx="9">
                  <c:v>20883.504485150625</c:v>
                </c:pt>
                <c:pt idx="10">
                  <c:v>58905.090075065091</c:v>
                </c:pt>
                <c:pt idx="11">
                  <c:v>26054.011152695515</c:v>
                </c:pt>
                <c:pt idx="12">
                  <c:v>-61833.252270965284</c:v>
                </c:pt>
                <c:pt idx="13">
                  <c:v>-38341.236690868333</c:v>
                </c:pt>
                <c:pt idx="14">
                  <c:v>-26317.101681795757</c:v>
                </c:pt>
                <c:pt idx="15">
                  <c:v>-10763.377209467057</c:v>
                </c:pt>
                <c:pt idx="16">
                  <c:v>-20144.904466649896</c:v>
                </c:pt>
                <c:pt idx="17">
                  <c:v>-32688.832740157202</c:v>
                </c:pt>
                <c:pt idx="18">
                  <c:v>-26882.956361166609</c:v>
                </c:pt>
                <c:pt idx="19">
                  <c:v>-16161.36545473017</c:v>
                </c:pt>
                <c:pt idx="20">
                  <c:v>-26857.773565081181</c:v>
                </c:pt>
                <c:pt idx="21">
                  <c:v>-28566.503621716285</c:v>
                </c:pt>
                <c:pt idx="22">
                  <c:v>-20211.996508943615</c:v>
                </c:pt>
                <c:pt idx="23">
                  <c:v>26881.743574694963</c:v>
                </c:pt>
                <c:pt idx="24">
                  <c:v>-26469.106542191788</c:v>
                </c:pt>
                <c:pt idx="25">
                  <c:v>-32580.392795716296</c:v>
                </c:pt>
                <c:pt idx="26">
                  <c:v>3083.1950259715959</c:v>
                </c:pt>
                <c:pt idx="27">
                  <c:v>-23633.958291345247</c:v>
                </c:pt>
                <c:pt idx="28">
                  <c:v>-3824.610104966996</c:v>
                </c:pt>
                <c:pt idx="29">
                  <c:v>10150.410996417224</c:v>
                </c:pt>
                <c:pt idx="30">
                  <c:v>-14926.60514272569</c:v>
                </c:pt>
                <c:pt idx="31">
                  <c:v>-20796.063918357599</c:v>
                </c:pt>
                <c:pt idx="32">
                  <c:v>-11145.733091709786</c:v>
                </c:pt>
                <c:pt idx="33">
                  <c:v>-60.087527366064023</c:v>
                </c:pt>
                <c:pt idx="34">
                  <c:v>1169.2139250496984</c:v>
                </c:pt>
                <c:pt idx="35">
                  <c:v>18542.891486923007</c:v>
                </c:pt>
                <c:pt idx="36">
                  <c:v>-16662.700275536132</c:v>
                </c:pt>
                <c:pt idx="37">
                  <c:v>-15086.307362182532</c:v>
                </c:pt>
                <c:pt idx="38">
                  <c:v>12016.098890393798</c:v>
                </c:pt>
                <c:pt idx="39">
                  <c:v>-10994.735757435381</c:v>
                </c:pt>
                <c:pt idx="40">
                  <c:v>-30829.353431728086</c:v>
                </c:pt>
                <c:pt idx="41">
                  <c:v>1241.1510654608719</c:v>
                </c:pt>
                <c:pt idx="42">
                  <c:v>29858.311505904538</c:v>
                </c:pt>
                <c:pt idx="43">
                  <c:v>3291.4480853649147</c:v>
                </c:pt>
                <c:pt idx="44">
                  <c:v>12595.016855706868</c:v>
                </c:pt>
                <c:pt idx="45">
                  <c:v>-4832.2378801520681</c:v>
                </c:pt>
                <c:pt idx="46">
                  <c:v>23019.953317209729</c:v>
                </c:pt>
                <c:pt idx="47">
                  <c:v>19481.666972077335</c:v>
                </c:pt>
                <c:pt idx="48">
                  <c:v>-16879.334837971081</c:v>
                </c:pt>
                <c:pt idx="49">
                  <c:v>-17485.474257422291</c:v>
                </c:pt>
                <c:pt idx="50">
                  <c:v>7905.9126972097729</c:v>
                </c:pt>
                <c:pt idx="51">
                  <c:v>10537.812191080069</c:v>
                </c:pt>
                <c:pt idx="52">
                  <c:v>14685.731722188619</c:v>
                </c:pt>
                <c:pt idx="53">
                  <c:v>-1489.0929532527807</c:v>
                </c:pt>
                <c:pt idx="54">
                  <c:v>35108.746319427621</c:v>
                </c:pt>
                <c:pt idx="55">
                  <c:v>25915.7908679432</c:v>
                </c:pt>
                <c:pt idx="56">
                  <c:v>31297.990398279508</c:v>
                </c:pt>
                <c:pt idx="57">
                  <c:v>30110.962651124923</c:v>
                </c:pt>
                <c:pt idx="58">
                  <c:v>75614.567419744213</c:v>
                </c:pt>
                <c:pt idx="59">
                  <c:v>23795.198744642083</c:v>
                </c:pt>
                <c:pt idx="60">
                  <c:v>-38650.510666447401</c:v>
                </c:pt>
                <c:pt idx="61">
                  <c:v>-15938.343775286659</c:v>
                </c:pt>
                <c:pt idx="62">
                  <c:v>-6754.8534863352834</c:v>
                </c:pt>
                <c:pt idx="63">
                  <c:v>-14266.274385899917</c:v>
                </c:pt>
                <c:pt idx="64">
                  <c:v>-96.236185451998608</c:v>
                </c:pt>
                <c:pt idx="65">
                  <c:v>-9650.0643153639976</c:v>
                </c:pt>
                <c:pt idx="66">
                  <c:v>-2829.857149925374</c:v>
                </c:pt>
                <c:pt idx="67">
                  <c:v>23846.570626229135</c:v>
                </c:pt>
                <c:pt idx="68">
                  <c:v>22968.856101685902</c:v>
                </c:pt>
                <c:pt idx="69">
                  <c:v>7065.9121688274899</c:v>
                </c:pt>
                <c:pt idx="70">
                  <c:v>25525.040228806087</c:v>
                </c:pt>
                <c:pt idx="71">
                  <c:v>28460.942024245742</c:v>
                </c:pt>
                <c:pt idx="72">
                  <c:v>-3199.9594294472772</c:v>
                </c:pt>
                <c:pt idx="73">
                  <c:v>13381.568869390467</c:v>
                </c:pt>
                <c:pt idx="74">
                  <c:v>23910.307012045756</c:v>
                </c:pt>
                <c:pt idx="75">
                  <c:v>5114.6041706468386</c:v>
                </c:pt>
                <c:pt idx="76">
                  <c:v>34228.759473264567</c:v>
                </c:pt>
                <c:pt idx="77">
                  <c:v>3388.0686628202093</c:v>
                </c:pt>
                <c:pt idx="78">
                  <c:v>47399.974311957165</c:v>
                </c:pt>
                <c:pt idx="79">
                  <c:v>18811.589915900899</c:v>
                </c:pt>
                <c:pt idx="80">
                  <c:v>44317.035333141132</c:v>
                </c:pt>
                <c:pt idx="81">
                  <c:v>35040.640968204709</c:v>
                </c:pt>
                <c:pt idx="82">
                  <c:v>58523.330276891182</c:v>
                </c:pt>
                <c:pt idx="83">
                  <c:v>12538.64917634934</c:v>
                </c:pt>
                <c:pt idx="84">
                  <c:v>27268.423468363006</c:v>
                </c:pt>
                <c:pt idx="85">
                  <c:v>5454.5738098996808</c:v>
                </c:pt>
                <c:pt idx="86">
                  <c:v>24757.56908496187</c:v>
                </c:pt>
                <c:pt idx="87">
                  <c:v>-4343.8601569805469</c:v>
                </c:pt>
                <c:pt idx="88">
                  <c:v>1351.0977096589049</c:v>
                </c:pt>
                <c:pt idx="89">
                  <c:v>38161.963596215821</c:v>
                </c:pt>
                <c:pt idx="90">
                  <c:v>43200.553915697121</c:v>
                </c:pt>
                <c:pt idx="91">
                  <c:v>10215.219033266214</c:v>
                </c:pt>
                <c:pt idx="92">
                  <c:v>41772.491407144233</c:v>
                </c:pt>
                <c:pt idx="93">
                  <c:v>51050.821584078891</c:v>
                </c:pt>
                <c:pt idx="94">
                  <c:v>16051.134883126942</c:v>
                </c:pt>
                <c:pt idx="95">
                  <c:v>37344.192332989885</c:v>
                </c:pt>
                <c:pt idx="96">
                  <c:v>-20271.265338553829</c:v>
                </c:pt>
                <c:pt idx="97">
                  <c:v>-31422.881358388069</c:v>
                </c:pt>
                <c:pt idx="98">
                  <c:v>-24737.237058472878</c:v>
                </c:pt>
                <c:pt idx="99">
                  <c:v>2634.6623937811237</c:v>
                </c:pt>
                <c:pt idx="100">
                  <c:v>-10001.077121996001</c:v>
                </c:pt>
                <c:pt idx="101">
                  <c:v>-7939.3164749244752</c:v>
                </c:pt>
                <c:pt idx="102">
                  <c:v>11848.846728225792</c:v>
                </c:pt>
                <c:pt idx="103">
                  <c:v>18692.259612725175</c:v>
                </c:pt>
                <c:pt idx="104">
                  <c:v>34861.191404988174</c:v>
                </c:pt>
                <c:pt idx="105">
                  <c:v>7823.9170492690464</c:v>
                </c:pt>
                <c:pt idx="106">
                  <c:v>28135.924260045431</c:v>
                </c:pt>
                <c:pt idx="107">
                  <c:v>41340.602542076289</c:v>
                </c:pt>
                <c:pt idx="108">
                  <c:v>3105.4617103156343</c:v>
                </c:pt>
                <c:pt idx="109">
                  <c:v>-8822.5291240869847</c:v>
                </c:pt>
                <c:pt idx="110">
                  <c:v>-1987.6581452759565</c:v>
                </c:pt>
                <c:pt idx="111">
                  <c:v>-232.76760167098837</c:v>
                </c:pt>
                <c:pt idx="112">
                  <c:v>14697.170358686184</c:v>
                </c:pt>
                <c:pt idx="113">
                  <c:v>1490.1431464859052</c:v>
                </c:pt>
                <c:pt idx="114">
                  <c:v>27126.465036725771</c:v>
                </c:pt>
                <c:pt idx="115">
                  <c:v>36397.569787267013</c:v>
                </c:pt>
                <c:pt idx="116">
                  <c:v>9074.0851592783583</c:v>
                </c:pt>
                <c:pt idx="117">
                  <c:v>49000.497555331647</c:v>
                </c:pt>
                <c:pt idx="118">
                  <c:v>-2507.8279738642741</c:v>
                </c:pt>
                <c:pt idx="119">
                  <c:v>52624.032745192904</c:v>
                </c:pt>
                <c:pt idx="120">
                  <c:v>1350.7198975744832</c:v>
                </c:pt>
                <c:pt idx="121">
                  <c:v>-6738.2505863924162</c:v>
                </c:pt>
                <c:pt idx="122">
                  <c:v>-4346.0255951865693</c:v>
                </c:pt>
                <c:pt idx="123">
                  <c:v>-57572.894925797125</c:v>
                </c:pt>
                <c:pt idx="124">
                  <c:v>-39448.795990599436</c:v>
                </c:pt>
                <c:pt idx="125">
                  <c:v>-15315.013769503101</c:v>
                </c:pt>
                <c:pt idx="126">
                  <c:v>-18864.729050398804</c:v>
                </c:pt>
                <c:pt idx="127">
                  <c:v>7296.1431716982624</c:v>
                </c:pt>
                <c:pt idx="128">
                  <c:v>-4443.0837258164538</c:v>
                </c:pt>
                <c:pt idx="129">
                  <c:v>-45807.088775583426</c:v>
                </c:pt>
                <c:pt idx="130">
                  <c:v>-23798.727425460587</c:v>
                </c:pt>
                <c:pt idx="131">
                  <c:v>1364.9756701426231</c:v>
                </c:pt>
                <c:pt idx="132">
                  <c:v>-27085.168928460887</c:v>
                </c:pt>
                <c:pt idx="133">
                  <c:v>-18167.720511281543</c:v>
                </c:pt>
                <c:pt idx="134">
                  <c:v>-28213.926028221264</c:v>
                </c:pt>
                <c:pt idx="135">
                  <c:v>-18849.219438435015</c:v>
                </c:pt>
                <c:pt idx="136">
                  <c:v>-34059.971627836552</c:v>
                </c:pt>
                <c:pt idx="137">
                  <c:v>-30436.242658620293</c:v>
                </c:pt>
                <c:pt idx="138">
                  <c:v>-570.76235231704777</c:v>
                </c:pt>
                <c:pt idx="139">
                  <c:v>766.81356476282235</c:v>
                </c:pt>
                <c:pt idx="140">
                  <c:v>14502.963108351891</c:v>
                </c:pt>
                <c:pt idx="141">
                  <c:v>386.97117509495001</c:v>
                </c:pt>
                <c:pt idx="142">
                  <c:v>3209.6461950996891</c:v>
                </c:pt>
                <c:pt idx="143">
                  <c:v>33765.17006312302</c:v>
                </c:pt>
                <c:pt idx="144">
                  <c:v>-37869.418678118964</c:v>
                </c:pt>
                <c:pt idx="145">
                  <c:v>-13134.994211427344</c:v>
                </c:pt>
                <c:pt idx="146">
                  <c:v>1056.1944439309591</c:v>
                </c:pt>
                <c:pt idx="147">
                  <c:v>-24540.840093905514</c:v>
                </c:pt>
                <c:pt idx="148">
                  <c:v>-14409.875244266994</c:v>
                </c:pt>
                <c:pt idx="149">
                  <c:v>-14321.003999691107</c:v>
                </c:pt>
                <c:pt idx="150">
                  <c:v>-38165.515079943987</c:v>
                </c:pt>
                <c:pt idx="151">
                  <c:v>-26651.286016634956</c:v>
                </c:pt>
                <c:pt idx="152">
                  <c:v>25.043749290925916</c:v>
                </c:pt>
                <c:pt idx="153">
                  <c:v>10466.6110183337</c:v>
                </c:pt>
                <c:pt idx="154">
                  <c:v>-10222.692943112022</c:v>
                </c:pt>
                <c:pt idx="155">
                  <c:v>13381.616387911374</c:v>
                </c:pt>
                <c:pt idx="156">
                  <c:v>-27610.402260929957</c:v>
                </c:pt>
                <c:pt idx="157">
                  <c:v>-51485.493984291097</c:v>
                </c:pt>
                <c:pt idx="158">
                  <c:v>-26452.176705736812</c:v>
                </c:pt>
                <c:pt idx="159">
                  <c:v>-53822.183824442793</c:v>
                </c:pt>
                <c:pt idx="160">
                  <c:v>-18263.706587705237</c:v>
                </c:pt>
                <c:pt idx="161">
                  <c:v>13090.541187778028</c:v>
                </c:pt>
                <c:pt idx="162">
                  <c:v>-25180.440039616951</c:v>
                </c:pt>
                <c:pt idx="163">
                  <c:v>-20639.045131840452</c:v>
                </c:pt>
                <c:pt idx="164">
                  <c:v>-28624.882493201934</c:v>
                </c:pt>
                <c:pt idx="165">
                  <c:v>-8966.4955506379483</c:v>
                </c:pt>
                <c:pt idx="166">
                  <c:v>-18883.253477429156</c:v>
                </c:pt>
                <c:pt idx="167">
                  <c:v>-35630.628165150876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3B4-5A46-801B-35DF4824D4D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71745968"/>
        <c:axId val="371974896"/>
      </c:scatterChart>
      <c:valAx>
        <c:axId val="37174596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"/>
                  <a:t>X2</a:t>
                </a:r>
              </a:p>
            </c:rich>
          </c:tx>
          <c:overlay val="0"/>
        </c:title>
        <c:numFmt formatCode="#,##0" sourceLinked="1"/>
        <c:majorTickMark val="out"/>
        <c:minorTickMark val="none"/>
        <c:tickLblPos val="nextTo"/>
        <c:crossAx val="371974896"/>
        <c:crosses val="autoZero"/>
        <c:crossBetween val="midCat"/>
      </c:valAx>
      <c:valAx>
        <c:axId val="37197489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ru-RU"/>
                  <a:t>Остатки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371745968"/>
        <c:crosses val="autoZero"/>
        <c:crossBetween val="midCat"/>
      </c:valAx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"/>
              <a:t>X3 </a:t>
            </a:r>
            <a:r>
              <a:rPr lang="ru-RU"/>
              <a:t>График остатков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>
              <a:noFill/>
            </a:ln>
          </c:spPr>
          <c:xVal>
            <c:numRef>
              <c:f>'Модель 2'!$D$2:$D$169</c:f>
              <c:numCache>
                <c:formatCode>General</c:formatCode>
                <c:ptCount val="168"/>
                <c:pt idx="0">
                  <c:v>103.1</c:v>
                </c:pt>
                <c:pt idx="1">
                  <c:v>103.3</c:v>
                </c:pt>
                <c:pt idx="2">
                  <c:v>101.3</c:v>
                </c:pt>
                <c:pt idx="3">
                  <c:v>98.9</c:v>
                </c:pt>
                <c:pt idx="4">
                  <c:v>107.2</c:v>
                </c:pt>
                <c:pt idx="5">
                  <c:v>106</c:v>
                </c:pt>
                <c:pt idx="6">
                  <c:v>101.3</c:v>
                </c:pt>
                <c:pt idx="7">
                  <c:v>103.3</c:v>
                </c:pt>
                <c:pt idx="8">
                  <c:v>110.7</c:v>
                </c:pt>
                <c:pt idx="9">
                  <c:v>102.4</c:v>
                </c:pt>
                <c:pt idx="10">
                  <c:v>99.9</c:v>
                </c:pt>
                <c:pt idx="11">
                  <c:v>103.2</c:v>
                </c:pt>
                <c:pt idx="12">
                  <c:v>101.8</c:v>
                </c:pt>
                <c:pt idx="13">
                  <c:v>102.8</c:v>
                </c:pt>
                <c:pt idx="14">
                  <c:v>99.1</c:v>
                </c:pt>
                <c:pt idx="15">
                  <c:v>98.2</c:v>
                </c:pt>
                <c:pt idx="16">
                  <c:v>104</c:v>
                </c:pt>
                <c:pt idx="17">
                  <c:v>102.4</c:v>
                </c:pt>
                <c:pt idx="18">
                  <c:v>106.3</c:v>
                </c:pt>
                <c:pt idx="19">
                  <c:v>104.6</c:v>
                </c:pt>
                <c:pt idx="20">
                  <c:v>102.1</c:v>
                </c:pt>
                <c:pt idx="21">
                  <c:v>107.5</c:v>
                </c:pt>
                <c:pt idx="22">
                  <c:v>99.5</c:v>
                </c:pt>
                <c:pt idx="23">
                  <c:v>96.9</c:v>
                </c:pt>
                <c:pt idx="24">
                  <c:v>106.5</c:v>
                </c:pt>
                <c:pt idx="25">
                  <c:v>101.9</c:v>
                </c:pt>
                <c:pt idx="26">
                  <c:v>95.6</c:v>
                </c:pt>
                <c:pt idx="27">
                  <c:v>100.1</c:v>
                </c:pt>
                <c:pt idx="28">
                  <c:v>106.1</c:v>
                </c:pt>
                <c:pt idx="29">
                  <c:v>97.9</c:v>
                </c:pt>
                <c:pt idx="30">
                  <c:v>104.1</c:v>
                </c:pt>
                <c:pt idx="31">
                  <c:v>99</c:v>
                </c:pt>
                <c:pt idx="32">
                  <c:v>103.2</c:v>
                </c:pt>
                <c:pt idx="33">
                  <c:v>102.9</c:v>
                </c:pt>
                <c:pt idx="34">
                  <c:v>104.9</c:v>
                </c:pt>
                <c:pt idx="35">
                  <c:v>103.5</c:v>
                </c:pt>
                <c:pt idx="36">
                  <c:v>100.9</c:v>
                </c:pt>
                <c:pt idx="37">
                  <c:v>101.1</c:v>
                </c:pt>
                <c:pt idx="38">
                  <c:v>101</c:v>
                </c:pt>
                <c:pt idx="39">
                  <c:v>99.3</c:v>
                </c:pt>
                <c:pt idx="40">
                  <c:v>105</c:v>
                </c:pt>
                <c:pt idx="41">
                  <c:v>99</c:v>
                </c:pt>
                <c:pt idx="42">
                  <c:v>102.5</c:v>
                </c:pt>
                <c:pt idx="43">
                  <c:v>95.7</c:v>
                </c:pt>
                <c:pt idx="44">
                  <c:v>100.7</c:v>
                </c:pt>
                <c:pt idx="45">
                  <c:v>106.5</c:v>
                </c:pt>
                <c:pt idx="46">
                  <c:v>105</c:v>
                </c:pt>
                <c:pt idx="47">
                  <c:v>98.8</c:v>
                </c:pt>
                <c:pt idx="48">
                  <c:v>100.8</c:v>
                </c:pt>
                <c:pt idx="49">
                  <c:v>102.2</c:v>
                </c:pt>
                <c:pt idx="50">
                  <c:v>98.8</c:v>
                </c:pt>
                <c:pt idx="51">
                  <c:v>97.9</c:v>
                </c:pt>
                <c:pt idx="52">
                  <c:v>102.3</c:v>
                </c:pt>
                <c:pt idx="53">
                  <c:v>100.9</c:v>
                </c:pt>
                <c:pt idx="54">
                  <c:v>101.9</c:v>
                </c:pt>
                <c:pt idx="55">
                  <c:v>100.7</c:v>
                </c:pt>
                <c:pt idx="56">
                  <c:v>101</c:v>
                </c:pt>
                <c:pt idx="57">
                  <c:v>103.6</c:v>
                </c:pt>
                <c:pt idx="58">
                  <c:v>105.2</c:v>
                </c:pt>
                <c:pt idx="59">
                  <c:v>107.3</c:v>
                </c:pt>
                <c:pt idx="60">
                  <c:v>101</c:v>
                </c:pt>
                <c:pt idx="61">
                  <c:v>103.8</c:v>
                </c:pt>
                <c:pt idx="62">
                  <c:v>106.3</c:v>
                </c:pt>
                <c:pt idx="63">
                  <c:v>104.8</c:v>
                </c:pt>
                <c:pt idx="64">
                  <c:v>103.2</c:v>
                </c:pt>
                <c:pt idx="65">
                  <c:v>96.9</c:v>
                </c:pt>
                <c:pt idx="66">
                  <c:v>101.3</c:v>
                </c:pt>
                <c:pt idx="67">
                  <c:v>101.2</c:v>
                </c:pt>
                <c:pt idx="68">
                  <c:v>100</c:v>
                </c:pt>
                <c:pt idx="69">
                  <c:v>101.3</c:v>
                </c:pt>
                <c:pt idx="70">
                  <c:v>106.3</c:v>
                </c:pt>
                <c:pt idx="71">
                  <c:v>99.5</c:v>
                </c:pt>
                <c:pt idx="72">
                  <c:v>104.3</c:v>
                </c:pt>
                <c:pt idx="73">
                  <c:v>98.5</c:v>
                </c:pt>
                <c:pt idx="74">
                  <c:v>102.8</c:v>
                </c:pt>
                <c:pt idx="75">
                  <c:v>101.3</c:v>
                </c:pt>
                <c:pt idx="76">
                  <c:v>102.9</c:v>
                </c:pt>
                <c:pt idx="77">
                  <c:v>98.4</c:v>
                </c:pt>
                <c:pt idx="78">
                  <c:v>103.6</c:v>
                </c:pt>
                <c:pt idx="79">
                  <c:v>98.5</c:v>
                </c:pt>
                <c:pt idx="80">
                  <c:v>103.7</c:v>
                </c:pt>
                <c:pt idx="81">
                  <c:v>107.2</c:v>
                </c:pt>
                <c:pt idx="82">
                  <c:v>105.7</c:v>
                </c:pt>
                <c:pt idx="83">
                  <c:v>107.1</c:v>
                </c:pt>
                <c:pt idx="84">
                  <c:v>103.8</c:v>
                </c:pt>
                <c:pt idx="85">
                  <c:v>110.9</c:v>
                </c:pt>
                <c:pt idx="86">
                  <c:v>102.6</c:v>
                </c:pt>
                <c:pt idx="87">
                  <c:v>103.1</c:v>
                </c:pt>
                <c:pt idx="88">
                  <c:v>102.6</c:v>
                </c:pt>
                <c:pt idx="89">
                  <c:v>103.2</c:v>
                </c:pt>
                <c:pt idx="90">
                  <c:v>99</c:v>
                </c:pt>
                <c:pt idx="91">
                  <c:v>102</c:v>
                </c:pt>
                <c:pt idx="92">
                  <c:v>98.7</c:v>
                </c:pt>
                <c:pt idx="93">
                  <c:v>102.6</c:v>
                </c:pt>
                <c:pt idx="94">
                  <c:v>102.9</c:v>
                </c:pt>
                <c:pt idx="95">
                  <c:v>102</c:v>
                </c:pt>
                <c:pt idx="96">
                  <c:v>102.4</c:v>
                </c:pt>
                <c:pt idx="97">
                  <c:v>99.3</c:v>
                </c:pt>
                <c:pt idx="98">
                  <c:v>99.7</c:v>
                </c:pt>
                <c:pt idx="99">
                  <c:v>99.3</c:v>
                </c:pt>
                <c:pt idx="100">
                  <c:v>102.2</c:v>
                </c:pt>
                <c:pt idx="101">
                  <c:v>107.8</c:v>
                </c:pt>
                <c:pt idx="102">
                  <c:v>108.6</c:v>
                </c:pt>
                <c:pt idx="103">
                  <c:v>101.2</c:v>
                </c:pt>
                <c:pt idx="104">
                  <c:v>101</c:v>
                </c:pt>
                <c:pt idx="105">
                  <c:v>101.5</c:v>
                </c:pt>
                <c:pt idx="106">
                  <c:v>105.1</c:v>
                </c:pt>
                <c:pt idx="107">
                  <c:v>102</c:v>
                </c:pt>
                <c:pt idx="108">
                  <c:v>100.4</c:v>
                </c:pt>
                <c:pt idx="109">
                  <c:v>101</c:v>
                </c:pt>
                <c:pt idx="110">
                  <c:v>98.9</c:v>
                </c:pt>
                <c:pt idx="111">
                  <c:v>104.7</c:v>
                </c:pt>
                <c:pt idx="112">
                  <c:v>102.5</c:v>
                </c:pt>
                <c:pt idx="113">
                  <c:v>107.8</c:v>
                </c:pt>
                <c:pt idx="114">
                  <c:v>103.5</c:v>
                </c:pt>
                <c:pt idx="115">
                  <c:v>93.7</c:v>
                </c:pt>
                <c:pt idx="116">
                  <c:v>102.1</c:v>
                </c:pt>
                <c:pt idx="117">
                  <c:v>103.9</c:v>
                </c:pt>
                <c:pt idx="118">
                  <c:v>106.6</c:v>
                </c:pt>
                <c:pt idx="119">
                  <c:v>103</c:v>
                </c:pt>
                <c:pt idx="120">
                  <c:v>104.7</c:v>
                </c:pt>
                <c:pt idx="121">
                  <c:v>101.9</c:v>
                </c:pt>
                <c:pt idx="122">
                  <c:v>95.3</c:v>
                </c:pt>
                <c:pt idx="123">
                  <c:v>99.8</c:v>
                </c:pt>
                <c:pt idx="124">
                  <c:v>103.1</c:v>
                </c:pt>
                <c:pt idx="125">
                  <c:v>103.3</c:v>
                </c:pt>
                <c:pt idx="126">
                  <c:v>101.1</c:v>
                </c:pt>
                <c:pt idx="127">
                  <c:v>104.3</c:v>
                </c:pt>
                <c:pt idx="128">
                  <c:v>106.5</c:v>
                </c:pt>
                <c:pt idx="129">
                  <c:v>104.8</c:v>
                </c:pt>
                <c:pt idx="130">
                  <c:v>100.9</c:v>
                </c:pt>
                <c:pt idx="131">
                  <c:v>102.2</c:v>
                </c:pt>
                <c:pt idx="132">
                  <c:v>104.8</c:v>
                </c:pt>
                <c:pt idx="133">
                  <c:v>101.7</c:v>
                </c:pt>
                <c:pt idx="134">
                  <c:v>99.5</c:v>
                </c:pt>
                <c:pt idx="135">
                  <c:v>102.2</c:v>
                </c:pt>
                <c:pt idx="136">
                  <c:v>102.8</c:v>
                </c:pt>
                <c:pt idx="137">
                  <c:v>102.2</c:v>
                </c:pt>
                <c:pt idx="138">
                  <c:v>102.6</c:v>
                </c:pt>
                <c:pt idx="139">
                  <c:v>93.1</c:v>
                </c:pt>
                <c:pt idx="140">
                  <c:v>102.9</c:v>
                </c:pt>
                <c:pt idx="141">
                  <c:v>103.5</c:v>
                </c:pt>
                <c:pt idx="142">
                  <c:v>101.2</c:v>
                </c:pt>
                <c:pt idx="143">
                  <c:v>104.8</c:v>
                </c:pt>
                <c:pt idx="144">
                  <c:v>104.9</c:v>
                </c:pt>
                <c:pt idx="145">
                  <c:v>104.4</c:v>
                </c:pt>
                <c:pt idx="146">
                  <c:v>102</c:v>
                </c:pt>
                <c:pt idx="147">
                  <c:v>104</c:v>
                </c:pt>
                <c:pt idx="148">
                  <c:v>105.4</c:v>
                </c:pt>
                <c:pt idx="149">
                  <c:v>100.1</c:v>
                </c:pt>
                <c:pt idx="150">
                  <c:v>97.4</c:v>
                </c:pt>
                <c:pt idx="151">
                  <c:v>100.4</c:v>
                </c:pt>
                <c:pt idx="152">
                  <c:v>103.5</c:v>
                </c:pt>
                <c:pt idx="153">
                  <c:v>104.3</c:v>
                </c:pt>
                <c:pt idx="154">
                  <c:v>101.1</c:v>
                </c:pt>
                <c:pt idx="155">
                  <c:v>101.7</c:v>
                </c:pt>
                <c:pt idx="156">
                  <c:v>102.2</c:v>
                </c:pt>
                <c:pt idx="157">
                  <c:v>103.2</c:v>
                </c:pt>
                <c:pt idx="158">
                  <c:v>99.3</c:v>
                </c:pt>
                <c:pt idx="159">
                  <c:v>104.5</c:v>
                </c:pt>
                <c:pt idx="160">
                  <c:v>102.7</c:v>
                </c:pt>
                <c:pt idx="161">
                  <c:v>99.8</c:v>
                </c:pt>
                <c:pt idx="162">
                  <c:v>106.2</c:v>
                </c:pt>
                <c:pt idx="163">
                  <c:v>95.5</c:v>
                </c:pt>
                <c:pt idx="164">
                  <c:v>99.2</c:v>
                </c:pt>
                <c:pt idx="165">
                  <c:v>101.5</c:v>
                </c:pt>
                <c:pt idx="166">
                  <c:v>96.9</c:v>
                </c:pt>
                <c:pt idx="167">
                  <c:v>104.3</c:v>
                </c:pt>
              </c:numCache>
            </c:numRef>
          </c:xVal>
          <c:yVal>
            <c:numRef>
              <c:f>'Модель 2'!$H$28:$H$195</c:f>
              <c:numCache>
                <c:formatCode>General</c:formatCode>
                <c:ptCount val="168"/>
                <c:pt idx="0">
                  <c:v>-11923.054764733737</c:v>
                </c:pt>
                <c:pt idx="1">
                  <c:v>-2090.2517419427168</c:v>
                </c:pt>
                <c:pt idx="2">
                  <c:v>-1322.1713833841495</c:v>
                </c:pt>
                <c:pt idx="3">
                  <c:v>-5650.3352660771925</c:v>
                </c:pt>
                <c:pt idx="4">
                  <c:v>-15461.906121959444</c:v>
                </c:pt>
                <c:pt idx="5">
                  <c:v>12903.275165876083</c:v>
                </c:pt>
                <c:pt idx="6">
                  <c:v>3189.4038708787411</c:v>
                </c:pt>
                <c:pt idx="7">
                  <c:v>13413.015785190597</c:v>
                </c:pt>
                <c:pt idx="8">
                  <c:v>-27160.954870897112</c:v>
                </c:pt>
                <c:pt idx="9">
                  <c:v>20883.504485150625</c:v>
                </c:pt>
                <c:pt idx="10">
                  <c:v>58905.090075065091</c:v>
                </c:pt>
                <c:pt idx="11">
                  <c:v>26054.011152695515</c:v>
                </c:pt>
                <c:pt idx="12">
                  <c:v>-61833.252270965284</c:v>
                </c:pt>
                <c:pt idx="13">
                  <c:v>-38341.236690868333</c:v>
                </c:pt>
                <c:pt idx="14">
                  <c:v>-26317.101681795757</c:v>
                </c:pt>
                <c:pt idx="15">
                  <c:v>-10763.377209467057</c:v>
                </c:pt>
                <c:pt idx="16">
                  <c:v>-20144.904466649896</c:v>
                </c:pt>
                <c:pt idx="17">
                  <c:v>-32688.832740157202</c:v>
                </c:pt>
                <c:pt idx="18">
                  <c:v>-26882.956361166609</c:v>
                </c:pt>
                <c:pt idx="19">
                  <c:v>-16161.36545473017</c:v>
                </c:pt>
                <c:pt idx="20">
                  <c:v>-26857.773565081181</c:v>
                </c:pt>
                <c:pt idx="21">
                  <c:v>-28566.503621716285</c:v>
                </c:pt>
                <c:pt idx="22">
                  <c:v>-20211.996508943615</c:v>
                </c:pt>
                <c:pt idx="23">
                  <c:v>26881.743574694963</c:v>
                </c:pt>
                <c:pt idx="24">
                  <c:v>-26469.106542191788</c:v>
                </c:pt>
                <c:pt idx="25">
                  <c:v>-32580.392795716296</c:v>
                </c:pt>
                <c:pt idx="26">
                  <c:v>3083.1950259715959</c:v>
                </c:pt>
                <c:pt idx="27">
                  <c:v>-23633.958291345247</c:v>
                </c:pt>
                <c:pt idx="28">
                  <c:v>-3824.610104966996</c:v>
                </c:pt>
                <c:pt idx="29">
                  <c:v>10150.410996417224</c:v>
                </c:pt>
                <c:pt idx="30">
                  <c:v>-14926.60514272569</c:v>
                </c:pt>
                <c:pt idx="31">
                  <c:v>-20796.063918357599</c:v>
                </c:pt>
                <c:pt idx="32">
                  <c:v>-11145.733091709786</c:v>
                </c:pt>
                <c:pt idx="33">
                  <c:v>-60.087527366064023</c:v>
                </c:pt>
                <c:pt idx="34">
                  <c:v>1169.2139250496984</c:v>
                </c:pt>
                <c:pt idx="35">
                  <c:v>18542.891486923007</c:v>
                </c:pt>
                <c:pt idx="36">
                  <c:v>-16662.700275536132</c:v>
                </c:pt>
                <c:pt idx="37">
                  <c:v>-15086.307362182532</c:v>
                </c:pt>
                <c:pt idx="38">
                  <c:v>12016.098890393798</c:v>
                </c:pt>
                <c:pt idx="39">
                  <c:v>-10994.735757435381</c:v>
                </c:pt>
                <c:pt idx="40">
                  <c:v>-30829.353431728086</c:v>
                </c:pt>
                <c:pt idx="41">
                  <c:v>1241.1510654608719</c:v>
                </c:pt>
                <c:pt idx="42">
                  <c:v>29858.311505904538</c:v>
                </c:pt>
                <c:pt idx="43">
                  <c:v>3291.4480853649147</c:v>
                </c:pt>
                <c:pt idx="44">
                  <c:v>12595.016855706868</c:v>
                </c:pt>
                <c:pt idx="45">
                  <c:v>-4832.2378801520681</c:v>
                </c:pt>
                <c:pt idx="46">
                  <c:v>23019.953317209729</c:v>
                </c:pt>
                <c:pt idx="47">
                  <c:v>19481.666972077335</c:v>
                </c:pt>
                <c:pt idx="48">
                  <c:v>-16879.334837971081</c:v>
                </c:pt>
                <c:pt idx="49">
                  <c:v>-17485.474257422291</c:v>
                </c:pt>
                <c:pt idx="50">
                  <c:v>7905.9126972097729</c:v>
                </c:pt>
                <c:pt idx="51">
                  <c:v>10537.812191080069</c:v>
                </c:pt>
                <c:pt idx="52">
                  <c:v>14685.731722188619</c:v>
                </c:pt>
                <c:pt idx="53">
                  <c:v>-1489.0929532527807</c:v>
                </c:pt>
                <c:pt idx="54">
                  <c:v>35108.746319427621</c:v>
                </c:pt>
                <c:pt idx="55">
                  <c:v>25915.7908679432</c:v>
                </c:pt>
                <c:pt idx="56">
                  <c:v>31297.990398279508</c:v>
                </c:pt>
                <c:pt idx="57">
                  <c:v>30110.962651124923</c:v>
                </c:pt>
                <c:pt idx="58">
                  <c:v>75614.567419744213</c:v>
                </c:pt>
                <c:pt idx="59">
                  <c:v>23795.198744642083</c:v>
                </c:pt>
                <c:pt idx="60">
                  <c:v>-38650.510666447401</c:v>
                </c:pt>
                <c:pt idx="61">
                  <c:v>-15938.343775286659</c:v>
                </c:pt>
                <c:pt idx="62">
                  <c:v>-6754.8534863352834</c:v>
                </c:pt>
                <c:pt idx="63">
                  <c:v>-14266.274385899917</c:v>
                </c:pt>
                <c:pt idx="64">
                  <c:v>-96.236185451998608</c:v>
                </c:pt>
                <c:pt idx="65">
                  <c:v>-9650.0643153639976</c:v>
                </c:pt>
                <c:pt idx="66">
                  <c:v>-2829.857149925374</c:v>
                </c:pt>
                <c:pt idx="67">
                  <c:v>23846.570626229135</c:v>
                </c:pt>
                <c:pt idx="68">
                  <c:v>22968.856101685902</c:v>
                </c:pt>
                <c:pt idx="69">
                  <c:v>7065.9121688274899</c:v>
                </c:pt>
                <c:pt idx="70">
                  <c:v>25525.040228806087</c:v>
                </c:pt>
                <c:pt idx="71">
                  <c:v>28460.942024245742</c:v>
                </c:pt>
                <c:pt idx="72">
                  <c:v>-3199.9594294472772</c:v>
                </c:pt>
                <c:pt idx="73">
                  <c:v>13381.568869390467</c:v>
                </c:pt>
                <c:pt idx="74">
                  <c:v>23910.307012045756</c:v>
                </c:pt>
                <c:pt idx="75">
                  <c:v>5114.6041706468386</c:v>
                </c:pt>
                <c:pt idx="76">
                  <c:v>34228.759473264567</c:v>
                </c:pt>
                <c:pt idx="77">
                  <c:v>3388.0686628202093</c:v>
                </c:pt>
                <c:pt idx="78">
                  <c:v>47399.974311957165</c:v>
                </c:pt>
                <c:pt idx="79">
                  <c:v>18811.589915900899</c:v>
                </c:pt>
                <c:pt idx="80">
                  <c:v>44317.035333141132</c:v>
                </c:pt>
                <c:pt idx="81">
                  <c:v>35040.640968204709</c:v>
                </c:pt>
                <c:pt idx="82">
                  <c:v>58523.330276891182</c:v>
                </c:pt>
                <c:pt idx="83">
                  <c:v>12538.64917634934</c:v>
                </c:pt>
                <c:pt idx="84">
                  <c:v>27268.423468363006</c:v>
                </c:pt>
                <c:pt idx="85">
                  <c:v>5454.5738098996808</c:v>
                </c:pt>
                <c:pt idx="86">
                  <c:v>24757.56908496187</c:v>
                </c:pt>
                <c:pt idx="87">
                  <c:v>-4343.8601569805469</c:v>
                </c:pt>
                <c:pt idx="88">
                  <c:v>1351.0977096589049</c:v>
                </c:pt>
                <c:pt idx="89">
                  <c:v>38161.963596215821</c:v>
                </c:pt>
                <c:pt idx="90">
                  <c:v>43200.553915697121</c:v>
                </c:pt>
                <c:pt idx="91">
                  <c:v>10215.219033266214</c:v>
                </c:pt>
                <c:pt idx="92">
                  <c:v>41772.491407144233</c:v>
                </c:pt>
                <c:pt idx="93">
                  <c:v>51050.821584078891</c:v>
                </c:pt>
                <c:pt idx="94">
                  <c:v>16051.134883126942</c:v>
                </c:pt>
                <c:pt idx="95">
                  <c:v>37344.192332989885</c:v>
                </c:pt>
                <c:pt idx="96">
                  <c:v>-20271.265338553829</c:v>
                </c:pt>
                <c:pt idx="97">
                  <c:v>-31422.881358388069</c:v>
                </c:pt>
                <c:pt idx="98">
                  <c:v>-24737.237058472878</c:v>
                </c:pt>
                <c:pt idx="99">
                  <c:v>2634.6623937811237</c:v>
                </c:pt>
                <c:pt idx="100">
                  <c:v>-10001.077121996001</c:v>
                </c:pt>
                <c:pt idx="101">
                  <c:v>-7939.3164749244752</c:v>
                </c:pt>
                <c:pt idx="102">
                  <c:v>11848.846728225792</c:v>
                </c:pt>
                <c:pt idx="103">
                  <c:v>18692.259612725175</c:v>
                </c:pt>
                <c:pt idx="104">
                  <c:v>34861.191404988174</c:v>
                </c:pt>
                <c:pt idx="105">
                  <c:v>7823.9170492690464</c:v>
                </c:pt>
                <c:pt idx="106">
                  <c:v>28135.924260045431</c:v>
                </c:pt>
                <c:pt idx="107">
                  <c:v>41340.602542076289</c:v>
                </c:pt>
                <c:pt idx="108">
                  <c:v>3105.4617103156343</c:v>
                </c:pt>
                <c:pt idx="109">
                  <c:v>-8822.5291240869847</c:v>
                </c:pt>
                <c:pt idx="110">
                  <c:v>-1987.6581452759565</c:v>
                </c:pt>
                <c:pt idx="111">
                  <c:v>-232.76760167098837</c:v>
                </c:pt>
                <c:pt idx="112">
                  <c:v>14697.170358686184</c:v>
                </c:pt>
                <c:pt idx="113">
                  <c:v>1490.1431464859052</c:v>
                </c:pt>
                <c:pt idx="114">
                  <c:v>27126.465036725771</c:v>
                </c:pt>
                <c:pt idx="115">
                  <c:v>36397.569787267013</c:v>
                </c:pt>
                <c:pt idx="116">
                  <c:v>9074.0851592783583</c:v>
                </c:pt>
                <c:pt idx="117">
                  <c:v>49000.497555331647</c:v>
                </c:pt>
                <c:pt idx="118">
                  <c:v>-2507.8279738642741</c:v>
                </c:pt>
                <c:pt idx="119">
                  <c:v>52624.032745192904</c:v>
                </c:pt>
                <c:pt idx="120">
                  <c:v>1350.7198975744832</c:v>
                </c:pt>
                <c:pt idx="121">
                  <c:v>-6738.2505863924162</c:v>
                </c:pt>
                <c:pt idx="122">
                  <c:v>-4346.0255951865693</c:v>
                </c:pt>
                <c:pt idx="123">
                  <c:v>-57572.894925797125</c:v>
                </c:pt>
                <c:pt idx="124">
                  <c:v>-39448.795990599436</c:v>
                </c:pt>
                <c:pt idx="125">
                  <c:v>-15315.013769503101</c:v>
                </c:pt>
                <c:pt idx="126">
                  <c:v>-18864.729050398804</c:v>
                </c:pt>
                <c:pt idx="127">
                  <c:v>7296.1431716982624</c:v>
                </c:pt>
                <c:pt idx="128">
                  <c:v>-4443.0837258164538</c:v>
                </c:pt>
                <c:pt idx="129">
                  <c:v>-45807.088775583426</c:v>
                </c:pt>
                <c:pt idx="130">
                  <c:v>-23798.727425460587</c:v>
                </c:pt>
                <c:pt idx="131">
                  <c:v>1364.9756701426231</c:v>
                </c:pt>
                <c:pt idx="132">
                  <c:v>-27085.168928460887</c:v>
                </c:pt>
                <c:pt idx="133">
                  <c:v>-18167.720511281543</c:v>
                </c:pt>
                <c:pt idx="134">
                  <c:v>-28213.926028221264</c:v>
                </c:pt>
                <c:pt idx="135">
                  <c:v>-18849.219438435015</c:v>
                </c:pt>
                <c:pt idx="136">
                  <c:v>-34059.971627836552</c:v>
                </c:pt>
                <c:pt idx="137">
                  <c:v>-30436.242658620293</c:v>
                </c:pt>
                <c:pt idx="138">
                  <c:v>-570.76235231704777</c:v>
                </c:pt>
                <c:pt idx="139">
                  <c:v>766.81356476282235</c:v>
                </c:pt>
                <c:pt idx="140">
                  <c:v>14502.963108351891</c:v>
                </c:pt>
                <c:pt idx="141">
                  <c:v>386.97117509495001</c:v>
                </c:pt>
                <c:pt idx="142">
                  <c:v>3209.6461950996891</c:v>
                </c:pt>
                <c:pt idx="143">
                  <c:v>33765.17006312302</c:v>
                </c:pt>
                <c:pt idx="144">
                  <c:v>-37869.418678118964</c:v>
                </c:pt>
                <c:pt idx="145">
                  <c:v>-13134.994211427344</c:v>
                </c:pt>
                <c:pt idx="146">
                  <c:v>1056.1944439309591</c:v>
                </c:pt>
                <c:pt idx="147">
                  <c:v>-24540.840093905514</c:v>
                </c:pt>
                <c:pt idx="148">
                  <c:v>-14409.875244266994</c:v>
                </c:pt>
                <c:pt idx="149">
                  <c:v>-14321.003999691107</c:v>
                </c:pt>
                <c:pt idx="150">
                  <c:v>-38165.515079943987</c:v>
                </c:pt>
                <c:pt idx="151">
                  <c:v>-26651.286016634956</c:v>
                </c:pt>
                <c:pt idx="152">
                  <c:v>25.043749290925916</c:v>
                </c:pt>
                <c:pt idx="153">
                  <c:v>10466.6110183337</c:v>
                </c:pt>
                <c:pt idx="154">
                  <c:v>-10222.692943112022</c:v>
                </c:pt>
                <c:pt idx="155">
                  <c:v>13381.616387911374</c:v>
                </c:pt>
                <c:pt idx="156">
                  <c:v>-27610.402260929957</c:v>
                </c:pt>
                <c:pt idx="157">
                  <c:v>-51485.493984291097</c:v>
                </c:pt>
                <c:pt idx="158">
                  <c:v>-26452.176705736812</c:v>
                </c:pt>
                <c:pt idx="159">
                  <c:v>-53822.183824442793</c:v>
                </c:pt>
                <c:pt idx="160">
                  <c:v>-18263.706587705237</c:v>
                </c:pt>
                <c:pt idx="161">
                  <c:v>13090.541187778028</c:v>
                </c:pt>
                <c:pt idx="162">
                  <c:v>-25180.440039616951</c:v>
                </c:pt>
                <c:pt idx="163">
                  <c:v>-20639.045131840452</c:v>
                </c:pt>
                <c:pt idx="164">
                  <c:v>-28624.882493201934</c:v>
                </c:pt>
                <c:pt idx="165">
                  <c:v>-8966.4955506379483</c:v>
                </c:pt>
                <c:pt idx="166">
                  <c:v>-18883.253477429156</c:v>
                </c:pt>
                <c:pt idx="167">
                  <c:v>-35630.628165150876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21D-2340-B6D0-AC880BC3CA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70249248"/>
        <c:axId val="1654369456"/>
      </c:scatterChart>
      <c:valAx>
        <c:axId val="47024924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"/>
                  <a:t>X3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654369456"/>
        <c:crosses val="autoZero"/>
        <c:crossBetween val="midCat"/>
      </c:valAx>
      <c:valAx>
        <c:axId val="165436945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ru-RU"/>
                  <a:t>Остатки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470249248"/>
        <c:crosses val="autoZero"/>
        <c:crossBetween val="midCat"/>
      </c:valAx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"/>
              <a:t>X1 </a:t>
            </a:r>
            <a:r>
              <a:rPr lang="ru-RU"/>
              <a:t>График остатков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>
              <a:noFill/>
            </a:ln>
          </c:spPr>
          <c:xVal>
            <c:numRef>
              <c:f>'Модель 3'!$B$2:$B$169</c:f>
              <c:numCache>
                <c:formatCode>#,##0</c:formatCode>
                <c:ptCount val="168"/>
                <c:pt idx="0">
                  <c:v>62643</c:v>
                </c:pt>
                <c:pt idx="1">
                  <c:v>72704</c:v>
                </c:pt>
                <c:pt idx="2">
                  <c:v>81669</c:v>
                </c:pt>
                <c:pt idx="3">
                  <c:v>87792</c:v>
                </c:pt>
                <c:pt idx="4">
                  <c:v>106131</c:v>
                </c:pt>
                <c:pt idx="5">
                  <c:v>89359</c:v>
                </c:pt>
                <c:pt idx="6">
                  <c:v>106199</c:v>
                </c:pt>
                <c:pt idx="7">
                  <c:v>110381</c:v>
                </c:pt>
                <c:pt idx="8">
                  <c:v>192377</c:v>
                </c:pt>
                <c:pt idx="9">
                  <c:v>137104</c:v>
                </c:pt>
                <c:pt idx="10">
                  <c:v>137874</c:v>
                </c:pt>
                <c:pt idx="11">
                  <c:v>158034</c:v>
                </c:pt>
                <c:pt idx="12">
                  <c:v>119974</c:v>
                </c:pt>
                <c:pt idx="13">
                  <c:v>113680</c:v>
                </c:pt>
                <c:pt idx="14">
                  <c:v>108532</c:v>
                </c:pt>
                <c:pt idx="15">
                  <c:v>121353</c:v>
                </c:pt>
                <c:pt idx="16">
                  <c:v>114942</c:v>
                </c:pt>
                <c:pt idx="17">
                  <c:v>150227</c:v>
                </c:pt>
                <c:pt idx="18">
                  <c:v>152834</c:v>
                </c:pt>
                <c:pt idx="19">
                  <c:v>154299</c:v>
                </c:pt>
                <c:pt idx="20">
                  <c:v>196541</c:v>
                </c:pt>
                <c:pt idx="21">
                  <c:v>187838</c:v>
                </c:pt>
                <c:pt idx="22">
                  <c:v>221856</c:v>
                </c:pt>
                <c:pt idx="23">
                  <c:v>186830</c:v>
                </c:pt>
                <c:pt idx="24">
                  <c:v>52098</c:v>
                </c:pt>
                <c:pt idx="25">
                  <c:v>55375</c:v>
                </c:pt>
                <c:pt idx="26">
                  <c:v>65737</c:v>
                </c:pt>
                <c:pt idx="27">
                  <c:v>86686</c:v>
                </c:pt>
                <c:pt idx="28">
                  <c:v>72903</c:v>
                </c:pt>
                <c:pt idx="29">
                  <c:v>79308</c:v>
                </c:pt>
                <c:pt idx="30">
                  <c:v>113814</c:v>
                </c:pt>
                <c:pt idx="31">
                  <c:v>117073</c:v>
                </c:pt>
                <c:pt idx="32">
                  <c:v>127428</c:v>
                </c:pt>
                <c:pt idx="33">
                  <c:v>125317</c:v>
                </c:pt>
                <c:pt idx="34">
                  <c:v>139440</c:v>
                </c:pt>
                <c:pt idx="35">
                  <c:v>136570</c:v>
                </c:pt>
                <c:pt idx="36">
                  <c:v>63811</c:v>
                </c:pt>
                <c:pt idx="37">
                  <c:v>70223</c:v>
                </c:pt>
                <c:pt idx="38">
                  <c:v>70333</c:v>
                </c:pt>
                <c:pt idx="39">
                  <c:v>119621</c:v>
                </c:pt>
                <c:pt idx="40">
                  <c:v>138396</c:v>
                </c:pt>
                <c:pt idx="41">
                  <c:v>104147</c:v>
                </c:pt>
                <c:pt idx="42">
                  <c:v>109978</c:v>
                </c:pt>
                <c:pt idx="43">
                  <c:v>138871</c:v>
                </c:pt>
                <c:pt idx="44">
                  <c:v>135912</c:v>
                </c:pt>
                <c:pt idx="45">
                  <c:v>160657</c:v>
                </c:pt>
                <c:pt idx="46">
                  <c:v>152937</c:v>
                </c:pt>
                <c:pt idx="47">
                  <c:v>177961</c:v>
                </c:pt>
                <c:pt idx="48">
                  <c:v>63378</c:v>
                </c:pt>
                <c:pt idx="49">
                  <c:v>73180</c:v>
                </c:pt>
                <c:pt idx="50">
                  <c:v>70482</c:v>
                </c:pt>
                <c:pt idx="51">
                  <c:v>74813</c:v>
                </c:pt>
                <c:pt idx="52">
                  <c:v>72402</c:v>
                </c:pt>
                <c:pt idx="53">
                  <c:v>101090</c:v>
                </c:pt>
                <c:pt idx="54">
                  <c:v>92636</c:v>
                </c:pt>
                <c:pt idx="55">
                  <c:v>97965</c:v>
                </c:pt>
                <c:pt idx="56">
                  <c:v>125383</c:v>
                </c:pt>
                <c:pt idx="57">
                  <c:v>131954</c:v>
                </c:pt>
                <c:pt idx="58">
                  <c:v>97451</c:v>
                </c:pt>
                <c:pt idx="59">
                  <c:v>165659</c:v>
                </c:pt>
                <c:pt idx="60">
                  <c:v>83495</c:v>
                </c:pt>
                <c:pt idx="61">
                  <c:v>62852</c:v>
                </c:pt>
                <c:pt idx="62">
                  <c:v>72703</c:v>
                </c:pt>
                <c:pt idx="63">
                  <c:v>85443</c:v>
                </c:pt>
                <c:pt idx="64">
                  <c:v>88286</c:v>
                </c:pt>
                <c:pt idx="65">
                  <c:v>114134</c:v>
                </c:pt>
                <c:pt idx="66">
                  <c:v>98764</c:v>
                </c:pt>
                <c:pt idx="67">
                  <c:v>113353</c:v>
                </c:pt>
                <c:pt idx="68">
                  <c:v>108532</c:v>
                </c:pt>
                <c:pt idx="69">
                  <c:v>157646</c:v>
                </c:pt>
                <c:pt idx="70">
                  <c:v>129343</c:v>
                </c:pt>
                <c:pt idx="71">
                  <c:v>156617</c:v>
                </c:pt>
                <c:pt idx="72">
                  <c:v>58604</c:v>
                </c:pt>
                <c:pt idx="73">
                  <c:v>64009</c:v>
                </c:pt>
                <c:pt idx="74">
                  <c:v>63807</c:v>
                </c:pt>
                <c:pt idx="75">
                  <c:v>82820</c:v>
                </c:pt>
                <c:pt idx="76">
                  <c:v>84059</c:v>
                </c:pt>
                <c:pt idx="77">
                  <c:v>87108</c:v>
                </c:pt>
                <c:pt idx="78">
                  <c:v>89471</c:v>
                </c:pt>
                <c:pt idx="79">
                  <c:v>140350</c:v>
                </c:pt>
                <c:pt idx="80">
                  <c:v>104644</c:v>
                </c:pt>
                <c:pt idx="81">
                  <c:v>136164</c:v>
                </c:pt>
                <c:pt idx="82">
                  <c:v>125437</c:v>
                </c:pt>
                <c:pt idx="83">
                  <c:v>178536</c:v>
                </c:pt>
                <c:pt idx="84">
                  <c:v>55133</c:v>
                </c:pt>
                <c:pt idx="85">
                  <c:v>71447</c:v>
                </c:pt>
                <c:pt idx="86">
                  <c:v>63586</c:v>
                </c:pt>
                <c:pt idx="87">
                  <c:v>101116</c:v>
                </c:pt>
                <c:pt idx="88">
                  <c:v>112971</c:v>
                </c:pt>
                <c:pt idx="89">
                  <c:v>81343</c:v>
                </c:pt>
                <c:pt idx="90">
                  <c:v>96530</c:v>
                </c:pt>
                <c:pt idx="91">
                  <c:v>125476</c:v>
                </c:pt>
                <c:pt idx="92">
                  <c:v>116469</c:v>
                </c:pt>
                <c:pt idx="93">
                  <c:v>111795</c:v>
                </c:pt>
                <c:pt idx="94">
                  <c:v>204157</c:v>
                </c:pt>
                <c:pt idx="95">
                  <c:v>160788</c:v>
                </c:pt>
                <c:pt idx="96">
                  <c:v>40383</c:v>
                </c:pt>
                <c:pt idx="97">
                  <c:v>43237</c:v>
                </c:pt>
                <c:pt idx="98">
                  <c:v>56274</c:v>
                </c:pt>
                <c:pt idx="99">
                  <c:v>51041</c:v>
                </c:pt>
                <c:pt idx="100">
                  <c:v>66194</c:v>
                </c:pt>
                <c:pt idx="101">
                  <c:v>63061</c:v>
                </c:pt>
                <c:pt idx="102">
                  <c:v>61403</c:v>
                </c:pt>
                <c:pt idx="103">
                  <c:v>61017</c:v>
                </c:pt>
                <c:pt idx="104">
                  <c:v>66444</c:v>
                </c:pt>
                <c:pt idx="105">
                  <c:v>90937</c:v>
                </c:pt>
                <c:pt idx="106">
                  <c:v>92111</c:v>
                </c:pt>
                <c:pt idx="107">
                  <c:v>90313</c:v>
                </c:pt>
                <c:pt idx="108">
                  <c:v>42772</c:v>
                </c:pt>
                <c:pt idx="109">
                  <c:v>62380</c:v>
                </c:pt>
                <c:pt idx="110">
                  <c:v>56226</c:v>
                </c:pt>
                <c:pt idx="111">
                  <c:v>52940</c:v>
                </c:pt>
                <c:pt idx="112">
                  <c:v>67795</c:v>
                </c:pt>
                <c:pt idx="113">
                  <c:v>90942</c:v>
                </c:pt>
                <c:pt idx="114">
                  <c:v>84010</c:v>
                </c:pt>
                <c:pt idx="115">
                  <c:v>96959</c:v>
                </c:pt>
                <c:pt idx="116">
                  <c:v>118444</c:v>
                </c:pt>
                <c:pt idx="117">
                  <c:v>101397</c:v>
                </c:pt>
                <c:pt idx="118">
                  <c:v>161933</c:v>
                </c:pt>
                <c:pt idx="119">
                  <c:v>114407</c:v>
                </c:pt>
                <c:pt idx="120">
                  <c:v>82655</c:v>
                </c:pt>
                <c:pt idx="121">
                  <c:v>105670</c:v>
                </c:pt>
                <c:pt idx="122">
                  <c:v>110304</c:v>
                </c:pt>
                <c:pt idx="123">
                  <c:v>152864</c:v>
                </c:pt>
                <c:pt idx="124">
                  <c:v>153890</c:v>
                </c:pt>
                <c:pt idx="125">
                  <c:v>155968</c:v>
                </c:pt>
                <c:pt idx="126">
                  <c:v>158357</c:v>
                </c:pt>
                <c:pt idx="127">
                  <c:v>152465</c:v>
                </c:pt>
                <c:pt idx="128">
                  <c:v>181847</c:v>
                </c:pt>
                <c:pt idx="129">
                  <c:v>249129</c:v>
                </c:pt>
                <c:pt idx="130">
                  <c:v>231174</c:v>
                </c:pt>
                <c:pt idx="131">
                  <c:v>232728</c:v>
                </c:pt>
                <c:pt idx="132">
                  <c:v>55142</c:v>
                </c:pt>
                <c:pt idx="133">
                  <c:v>57541</c:v>
                </c:pt>
                <c:pt idx="134">
                  <c:v>72362</c:v>
                </c:pt>
                <c:pt idx="135">
                  <c:v>84564</c:v>
                </c:pt>
                <c:pt idx="136">
                  <c:v>83296</c:v>
                </c:pt>
                <c:pt idx="137">
                  <c:v>96072</c:v>
                </c:pt>
                <c:pt idx="138">
                  <c:v>70037</c:v>
                </c:pt>
                <c:pt idx="139">
                  <c:v>102669</c:v>
                </c:pt>
                <c:pt idx="140">
                  <c:v>104695</c:v>
                </c:pt>
                <c:pt idx="141">
                  <c:v>148669</c:v>
                </c:pt>
                <c:pt idx="142">
                  <c:v>161202</c:v>
                </c:pt>
                <c:pt idx="143">
                  <c:v>115558</c:v>
                </c:pt>
                <c:pt idx="144">
                  <c:v>51726</c:v>
                </c:pt>
                <c:pt idx="145">
                  <c:v>47179</c:v>
                </c:pt>
                <c:pt idx="146">
                  <c:v>53984</c:v>
                </c:pt>
                <c:pt idx="147">
                  <c:v>80066</c:v>
                </c:pt>
                <c:pt idx="148">
                  <c:v>88806</c:v>
                </c:pt>
                <c:pt idx="149">
                  <c:v>94664</c:v>
                </c:pt>
                <c:pt idx="150">
                  <c:v>103846</c:v>
                </c:pt>
                <c:pt idx="151">
                  <c:v>108418</c:v>
                </c:pt>
                <c:pt idx="152">
                  <c:v>114116</c:v>
                </c:pt>
                <c:pt idx="153">
                  <c:v>104839</c:v>
                </c:pt>
                <c:pt idx="154">
                  <c:v>117272</c:v>
                </c:pt>
                <c:pt idx="155">
                  <c:v>133241</c:v>
                </c:pt>
                <c:pt idx="156">
                  <c:v>57169</c:v>
                </c:pt>
                <c:pt idx="157">
                  <c:v>66689</c:v>
                </c:pt>
                <c:pt idx="158">
                  <c:v>76945</c:v>
                </c:pt>
                <c:pt idx="159">
                  <c:v>93794</c:v>
                </c:pt>
                <c:pt idx="160">
                  <c:v>90675</c:v>
                </c:pt>
                <c:pt idx="161">
                  <c:v>74374</c:v>
                </c:pt>
                <c:pt idx="162">
                  <c:v>104495</c:v>
                </c:pt>
                <c:pt idx="163">
                  <c:v>125279</c:v>
                </c:pt>
                <c:pt idx="164">
                  <c:v>99028</c:v>
                </c:pt>
                <c:pt idx="165">
                  <c:v>122281</c:v>
                </c:pt>
                <c:pt idx="166">
                  <c:v>162971</c:v>
                </c:pt>
                <c:pt idx="167">
                  <c:v>172911</c:v>
                </c:pt>
              </c:numCache>
            </c:numRef>
          </c:xVal>
          <c:yVal>
            <c:numRef>
              <c:f>'Модель 3'!$I$29:$I$196</c:f>
              <c:numCache>
                <c:formatCode>General</c:formatCode>
                <c:ptCount val="168"/>
                <c:pt idx="0">
                  <c:v>-15287.374367665907</c:v>
                </c:pt>
                <c:pt idx="1">
                  <c:v>-5326.5191252467921</c:v>
                </c:pt>
                <c:pt idx="2">
                  <c:v>-3664.805231983657</c:v>
                </c:pt>
                <c:pt idx="3">
                  <c:v>-7978.5169336293766</c:v>
                </c:pt>
                <c:pt idx="4">
                  <c:v>-15796.438825287274</c:v>
                </c:pt>
                <c:pt idx="5">
                  <c:v>11532.690858142014</c:v>
                </c:pt>
                <c:pt idx="6">
                  <c:v>1306.176094796072</c:v>
                </c:pt>
                <c:pt idx="7">
                  <c:v>10176.741257739835</c:v>
                </c:pt>
                <c:pt idx="8">
                  <c:v>-24471.382360706339</c:v>
                </c:pt>
                <c:pt idx="9">
                  <c:v>19217.335076303279</c:v>
                </c:pt>
                <c:pt idx="10">
                  <c:v>58486.322986592189</c:v>
                </c:pt>
                <c:pt idx="11">
                  <c:v>27472.729016019963</c:v>
                </c:pt>
                <c:pt idx="12">
                  <c:v>-59950.038355082128</c:v>
                </c:pt>
                <c:pt idx="13">
                  <c:v>-36889.90421450467</c:v>
                </c:pt>
                <c:pt idx="14">
                  <c:v>-24852.117859858263</c:v>
                </c:pt>
                <c:pt idx="15">
                  <c:v>-9488.0099443468789</c:v>
                </c:pt>
                <c:pt idx="16">
                  <c:v>-17711.768112319842</c:v>
                </c:pt>
                <c:pt idx="17">
                  <c:v>-29792.417044471018</c:v>
                </c:pt>
                <c:pt idx="18">
                  <c:v>-24026.398465102422</c:v>
                </c:pt>
                <c:pt idx="19">
                  <c:v>-13419.925092353718</c:v>
                </c:pt>
                <c:pt idx="20">
                  <c:v>-22439.365854249976</c:v>
                </c:pt>
                <c:pt idx="21">
                  <c:v>-23037.418019575067</c:v>
                </c:pt>
                <c:pt idx="22">
                  <c:v>-14719.100676085334</c:v>
                </c:pt>
                <c:pt idx="23">
                  <c:v>30480.695569263189</c:v>
                </c:pt>
                <c:pt idx="24">
                  <c:v>-22850.653179765039</c:v>
                </c:pt>
                <c:pt idx="25">
                  <c:v>-29363.884950311302</c:v>
                </c:pt>
                <c:pt idx="26">
                  <c:v>6340.4163150797831</c:v>
                </c:pt>
                <c:pt idx="27">
                  <c:v>-19344.854315458186</c:v>
                </c:pt>
                <c:pt idx="28">
                  <c:v>638.41527677734848</c:v>
                </c:pt>
                <c:pt idx="29">
                  <c:v>14124.037189364346</c:v>
                </c:pt>
                <c:pt idx="30">
                  <c:v>-9340.936870604608</c:v>
                </c:pt>
                <c:pt idx="31">
                  <c:v>-15266.981936067372</c:v>
                </c:pt>
                <c:pt idx="32">
                  <c:v>-4719.9618217481184</c:v>
                </c:pt>
                <c:pt idx="33">
                  <c:v>6054.3987333793775</c:v>
                </c:pt>
                <c:pt idx="34">
                  <c:v>7868.3441816723498</c:v>
                </c:pt>
                <c:pt idx="35">
                  <c:v>25049.459403413057</c:v>
                </c:pt>
                <c:pt idx="36">
                  <c:v>-18616.619488287426</c:v>
                </c:pt>
                <c:pt idx="37">
                  <c:v>-17304.060162404174</c:v>
                </c:pt>
                <c:pt idx="38">
                  <c:v>8280.0343055045232</c:v>
                </c:pt>
                <c:pt idx="39">
                  <c:v>-12303.635738866287</c:v>
                </c:pt>
                <c:pt idx="40">
                  <c:v>-30148.440456555341</c:v>
                </c:pt>
                <c:pt idx="41">
                  <c:v>-1212.5485160929384</c:v>
                </c:pt>
                <c:pt idx="42">
                  <c:v>27765.790202513803</c:v>
                </c:pt>
                <c:pt idx="43">
                  <c:v>3542.3581165029318</c:v>
                </c:pt>
                <c:pt idx="44">
                  <c:v>11709.463530176872</c:v>
                </c:pt>
                <c:pt idx="45">
                  <c:v>-4066.1473763034446</c:v>
                </c:pt>
                <c:pt idx="46">
                  <c:v>22174.704674589797</c:v>
                </c:pt>
                <c:pt idx="47">
                  <c:v>20121.03111080674</c:v>
                </c:pt>
                <c:pt idx="48">
                  <c:v>-15260.81732059081</c:v>
                </c:pt>
                <c:pt idx="49">
                  <c:v>-15222.691929540597</c:v>
                </c:pt>
                <c:pt idx="50">
                  <c:v>9941.5417262570118</c:v>
                </c:pt>
                <c:pt idx="51">
                  <c:v>12574.059217405069</c:v>
                </c:pt>
                <c:pt idx="52">
                  <c:v>17137.285909796454</c:v>
                </c:pt>
                <c:pt idx="53">
                  <c:v>1625.7653791474586</c:v>
                </c:pt>
                <c:pt idx="54">
                  <c:v>38238.415068292496</c:v>
                </c:pt>
                <c:pt idx="55">
                  <c:v>29305.765153792658</c:v>
                </c:pt>
                <c:pt idx="56">
                  <c:v>35346.53347560871</c:v>
                </c:pt>
                <c:pt idx="57">
                  <c:v>34392.81528628862</c:v>
                </c:pt>
                <c:pt idx="58">
                  <c:v>78555.476893604064</c:v>
                </c:pt>
                <c:pt idx="59">
                  <c:v>29960.547387226776</c:v>
                </c:pt>
                <c:pt idx="60">
                  <c:v>-35794.63969881201</c:v>
                </c:pt>
                <c:pt idx="61">
                  <c:v>-13237.754282365786</c:v>
                </c:pt>
                <c:pt idx="62">
                  <c:v>-3634.4738187417388</c:v>
                </c:pt>
                <c:pt idx="63">
                  <c:v>-10280.322833667538</c:v>
                </c:pt>
                <c:pt idx="64">
                  <c:v>3144.8187780748121</c:v>
                </c:pt>
                <c:pt idx="65">
                  <c:v>-5684.7344363851298</c:v>
                </c:pt>
                <c:pt idx="66">
                  <c:v>1235.6547435684479</c:v>
                </c:pt>
                <c:pt idx="67">
                  <c:v>28008.938206842548</c:v>
                </c:pt>
                <c:pt idx="68">
                  <c:v>26282.473606972373</c:v>
                </c:pt>
                <c:pt idx="69">
                  <c:v>13014.033660516434</c:v>
                </c:pt>
                <c:pt idx="70">
                  <c:v>30552.249008299725</c:v>
                </c:pt>
                <c:pt idx="71">
                  <c:v>34417.676472372899</c:v>
                </c:pt>
                <c:pt idx="72">
                  <c:v>-12011.551272049634</c:v>
                </c:pt>
                <c:pt idx="73">
                  <c:v>3636.2406005783414</c:v>
                </c:pt>
                <c:pt idx="74">
                  <c:v>14922.491527864768</c:v>
                </c:pt>
                <c:pt idx="75">
                  <c:v>-4621.6481703573954</c:v>
                </c:pt>
                <c:pt idx="76">
                  <c:v>23551.942494150891</c:v>
                </c:pt>
                <c:pt idx="77">
                  <c:v>-5192.598562532221</c:v>
                </c:pt>
                <c:pt idx="78">
                  <c:v>38997.833392334665</c:v>
                </c:pt>
                <c:pt idx="79">
                  <c:v>13165.132926605118</c:v>
                </c:pt>
                <c:pt idx="80">
                  <c:v>37925.423455114593</c:v>
                </c:pt>
                <c:pt idx="81">
                  <c:v>27771.305472168315</c:v>
                </c:pt>
                <c:pt idx="82">
                  <c:v>52016.608318210347</c:v>
                </c:pt>
                <c:pt idx="83">
                  <c:v>9010.4096024441533</c:v>
                </c:pt>
                <c:pt idx="84">
                  <c:v>15333.067674219434</c:v>
                </c:pt>
                <c:pt idx="85">
                  <c:v>-5445.3224485750834</c:v>
                </c:pt>
                <c:pt idx="86">
                  <c:v>12364.947590740019</c:v>
                </c:pt>
                <c:pt idx="87">
                  <c:v>-12507.306414132647</c:v>
                </c:pt>
                <c:pt idx="88">
                  <c:v>-5973.0347850553808</c:v>
                </c:pt>
                <c:pt idx="89">
                  <c:v>27300.950788574468</c:v>
                </c:pt>
                <c:pt idx="90">
                  <c:v>30093.697676364536</c:v>
                </c:pt>
                <c:pt idx="91">
                  <c:v>487.61676385402097</c:v>
                </c:pt>
                <c:pt idx="92">
                  <c:v>30626.458337508258</c:v>
                </c:pt>
                <c:pt idx="93">
                  <c:v>43141.899597723706</c:v>
                </c:pt>
                <c:pt idx="94">
                  <c:v>7592.2293913167669</c:v>
                </c:pt>
                <c:pt idx="95">
                  <c:v>27935.393119579821</c:v>
                </c:pt>
                <c:pt idx="96">
                  <c:v>-18612.684408223897</c:v>
                </c:pt>
                <c:pt idx="97">
                  <c:v>-29698.328698068872</c:v>
                </c:pt>
                <c:pt idx="98">
                  <c:v>-22747.138061483274</c:v>
                </c:pt>
                <c:pt idx="99">
                  <c:v>4785.4135448680026</c:v>
                </c:pt>
                <c:pt idx="100">
                  <c:v>-7220.0965856627154</c:v>
                </c:pt>
                <c:pt idx="101">
                  <c:v>-4575.7369706705504</c:v>
                </c:pt>
                <c:pt idx="102">
                  <c:v>14493.667390078597</c:v>
                </c:pt>
                <c:pt idx="103">
                  <c:v>20995.714686041581</c:v>
                </c:pt>
                <c:pt idx="104">
                  <c:v>37303.175311941042</c:v>
                </c:pt>
                <c:pt idx="105">
                  <c:v>11337.555680615129</c:v>
                </c:pt>
                <c:pt idx="106">
                  <c:v>32007.702725417155</c:v>
                </c:pt>
                <c:pt idx="107">
                  <c:v>44804.135455699579</c:v>
                </c:pt>
                <c:pt idx="108">
                  <c:v>3925.9718794645742</c:v>
                </c:pt>
                <c:pt idx="109">
                  <c:v>-6531.5456152626721</c:v>
                </c:pt>
                <c:pt idx="110">
                  <c:v>-428.81807640660554</c:v>
                </c:pt>
                <c:pt idx="111">
                  <c:v>955.30294659448555</c:v>
                </c:pt>
                <c:pt idx="112">
                  <c:v>16485.061377567967</c:v>
                </c:pt>
                <c:pt idx="113">
                  <c:v>4790.1385773108923</c:v>
                </c:pt>
                <c:pt idx="114">
                  <c:v>29119.697592322947</c:v>
                </c:pt>
                <c:pt idx="115">
                  <c:v>38706.200205566391</c:v>
                </c:pt>
                <c:pt idx="116">
                  <c:v>13857.459026246768</c:v>
                </c:pt>
                <c:pt idx="117">
                  <c:v>52678.670943377394</c:v>
                </c:pt>
                <c:pt idx="118">
                  <c:v>3881.4517527959542</c:v>
                </c:pt>
                <c:pt idx="119">
                  <c:v>56331.40271151549</c:v>
                </c:pt>
                <c:pt idx="120">
                  <c:v>-10051.588531778543</c:v>
                </c:pt>
                <c:pt idx="121">
                  <c:v>-15238.914981692156</c:v>
                </c:pt>
                <c:pt idx="122">
                  <c:v>-14489.299568514805</c:v>
                </c:pt>
                <c:pt idx="123">
                  <c:v>-65394.438132067327</c:v>
                </c:pt>
                <c:pt idx="124">
                  <c:v>-45211.558847426088</c:v>
                </c:pt>
                <c:pt idx="125">
                  <c:v>-24307.997025757737</c:v>
                </c:pt>
                <c:pt idx="126">
                  <c:v>-24719.865284231666</c:v>
                </c:pt>
                <c:pt idx="127">
                  <c:v>346.23955747444415</c:v>
                </c:pt>
                <c:pt idx="128">
                  <c:v>-12604.630273849529</c:v>
                </c:pt>
                <c:pt idx="129">
                  <c:v>-49737.29172385647</c:v>
                </c:pt>
                <c:pt idx="130">
                  <c:v>-30361.14898536331</c:v>
                </c:pt>
                <c:pt idx="131">
                  <c:v>-4129.9045931628789</c:v>
                </c:pt>
                <c:pt idx="132">
                  <c:v>-23297.435471136356</c:v>
                </c:pt>
                <c:pt idx="133">
                  <c:v>-14558.545137560723</c:v>
                </c:pt>
                <c:pt idx="134">
                  <c:v>-24275.611965035467</c:v>
                </c:pt>
                <c:pt idx="135">
                  <c:v>-13968.934392942232</c:v>
                </c:pt>
                <c:pt idx="136">
                  <c:v>-29458.303075633972</c:v>
                </c:pt>
                <c:pt idx="137">
                  <c:v>-25161.811950137606</c:v>
                </c:pt>
                <c:pt idx="138">
                  <c:v>3580.0257640131458</c:v>
                </c:pt>
                <c:pt idx="139">
                  <c:v>5564.0322413368849</c:v>
                </c:pt>
                <c:pt idx="140">
                  <c:v>19990.362201408279</c:v>
                </c:pt>
                <c:pt idx="141">
                  <c:v>7941.8358550930279</c:v>
                </c:pt>
                <c:pt idx="142">
                  <c:v>10785.114604804548</c:v>
                </c:pt>
                <c:pt idx="143">
                  <c:v>40003.978720259038</c:v>
                </c:pt>
                <c:pt idx="144">
                  <c:v>-36742.294029644312</c:v>
                </c:pt>
                <c:pt idx="145">
                  <c:v>-12905.644096223114</c:v>
                </c:pt>
                <c:pt idx="146">
                  <c:v>1177.6139917882683</c:v>
                </c:pt>
                <c:pt idx="147">
                  <c:v>-23623.132238132093</c:v>
                </c:pt>
                <c:pt idx="148">
                  <c:v>-13091.739209602092</c:v>
                </c:pt>
                <c:pt idx="149">
                  <c:v>-13466.346832978772</c:v>
                </c:pt>
                <c:pt idx="150">
                  <c:v>-36565.326822196337</c:v>
                </c:pt>
                <c:pt idx="151">
                  <c:v>-23666.750095728989</c:v>
                </c:pt>
                <c:pt idx="152">
                  <c:v>2585.8103300351067</c:v>
                </c:pt>
                <c:pt idx="153">
                  <c:v>11601.252037576603</c:v>
                </c:pt>
                <c:pt idx="154">
                  <c:v>-7493.6744952212903</c:v>
                </c:pt>
                <c:pt idx="155">
                  <c:v>16865.183064570767</c:v>
                </c:pt>
                <c:pt idx="156">
                  <c:v>-28472.429756023834</c:v>
                </c:pt>
                <c:pt idx="157">
                  <c:v>-52130.071208797657</c:v>
                </c:pt>
                <c:pt idx="158">
                  <c:v>-27721.3139466336</c:v>
                </c:pt>
                <c:pt idx="159">
                  <c:v>-53514.62333530793</c:v>
                </c:pt>
                <c:pt idx="160">
                  <c:v>-19300.506943341607</c:v>
                </c:pt>
                <c:pt idx="161">
                  <c:v>11705.525234729401</c:v>
                </c:pt>
                <c:pt idx="162">
                  <c:v>-24317.637976571685</c:v>
                </c:pt>
                <c:pt idx="163">
                  <c:v>-19856.188860806578</c:v>
                </c:pt>
                <c:pt idx="164">
                  <c:v>-26776.320814243809</c:v>
                </c:pt>
                <c:pt idx="165">
                  <c:v>-7761.1440225463011</c:v>
                </c:pt>
                <c:pt idx="166">
                  <c:v>-16441.837782772083</c:v>
                </c:pt>
                <c:pt idx="167">
                  <c:v>-31668.805922127853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919-4E47-8952-E906DB6089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96926032"/>
        <c:axId val="458334336"/>
      </c:scatterChart>
      <c:valAx>
        <c:axId val="169692603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"/>
                  <a:t>X1</a:t>
                </a:r>
              </a:p>
            </c:rich>
          </c:tx>
          <c:overlay val="0"/>
        </c:title>
        <c:numFmt formatCode="#,##0" sourceLinked="1"/>
        <c:majorTickMark val="out"/>
        <c:minorTickMark val="none"/>
        <c:tickLblPos val="nextTo"/>
        <c:crossAx val="458334336"/>
        <c:crosses val="autoZero"/>
        <c:crossBetween val="midCat"/>
      </c:valAx>
      <c:valAx>
        <c:axId val="45833433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ru-RU"/>
                  <a:t>Остатки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696926032"/>
        <c:crosses val="autoZero"/>
        <c:crossBetween val="midCat"/>
      </c:valAx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"/>
              <a:t>X2 </a:t>
            </a:r>
            <a:r>
              <a:rPr lang="ru-RU"/>
              <a:t>График остатков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>
              <a:noFill/>
            </a:ln>
          </c:spPr>
          <c:xVal>
            <c:numRef>
              <c:f>'Модель 3'!$C$2:$C$169</c:f>
              <c:numCache>
                <c:formatCode>#,##0</c:formatCode>
                <c:ptCount val="168"/>
                <c:pt idx="0">
                  <c:v>63293</c:v>
                </c:pt>
                <c:pt idx="1">
                  <c:v>52978</c:v>
                </c:pt>
                <c:pt idx="2">
                  <c:v>54020</c:v>
                </c:pt>
                <c:pt idx="3">
                  <c:v>71826</c:v>
                </c:pt>
                <c:pt idx="4">
                  <c:v>87050</c:v>
                </c:pt>
                <c:pt idx="5">
                  <c:v>91321</c:v>
                </c:pt>
                <c:pt idx="6">
                  <c:v>95031</c:v>
                </c:pt>
                <c:pt idx="7">
                  <c:v>100551</c:v>
                </c:pt>
                <c:pt idx="8">
                  <c:v>110988</c:v>
                </c:pt>
                <c:pt idx="9">
                  <c:v>110396</c:v>
                </c:pt>
                <c:pt idx="10">
                  <c:v>91037</c:v>
                </c:pt>
                <c:pt idx="11">
                  <c:v>127609</c:v>
                </c:pt>
                <c:pt idx="12">
                  <c:v>64531</c:v>
                </c:pt>
                <c:pt idx="13">
                  <c:v>58025</c:v>
                </c:pt>
                <c:pt idx="14">
                  <c:v>68453</c:v>
                </c:pt>
                <c:pt idx="15">
                  <c:v>62429</c:v>
                </c:pt>
                <c:pt idx="16">
                  <c:v>70328</c:v>
                </c:pt>
                <c:pt idx="17">
                  <c:v>93121</c:v>
                </c:pt>
                <c:pt idx="18">
                  <c:v>67880</c:v>
                </c:pt>
                <c:pt idx="19">
                  <c:v>120034</c:v>
                </c:pt>
                <c:pt idx="20">
                  <c:v>136077</c:v>
                </c:pt>
                <c:pt idx="21">
                  <c:v>105521</c:v>
                </c:pt>
                <c:pt idx="22">
                  <c:v>190033</c:v>
                </c:pt>
                <c:pt idx="23">
                  <c:v>117333</c:v>
                </c:pt>
                <c:pt idx="24">
                  <c:v>16384</c:v>
                </c:pt>
                <c:pt idx="25">
                  <c:v>14200</c:v>
                </c:pt>
                <c:pt idx="26">
                  <c:v>19886</c:v>
                </c:pt>
                <c:pt idx="27">
                  <c:v>16536</c:v>
                </c:pt>
                <c:pt idx="28">
                  <c:v>22776</c:v>
                </c:pt>
                <c:pt idx="29">
                  <c:v>21066</c:v>
                </c:pt>
                <c:pt idx="30">
                  <c:v>21783</c:v>
                </c:pt>
                <c:pt idx="31">
                  <c:v>29029</c:v>
                </c:pt>
                <c:pt idx="32">
                  <c:v>22722</c:v>
                </c:pt>
                <c:pt idx="33">
                  <c:v>33385</c:v>
                </c:pt>
                <c:pt idx="34">
                  <c:v>38462</c:v>
                </c:pt>
                <c:pt idx="35">
                  <c:v>30983</c:v>
                </c:pt>
                <c:pt idx="36">
                  <c:v>23574</c:v>
                </c:pt>
                <c:pt idx="37">
                  <c:v>29613</c:v>
                </c:pt>
                <c:pt idx="38">
                  <c:v>42927</c:v>
                </c:pt>
                <c:pt idx="39">
                  <c:v>40576</c:v>
                </c:pt>
                <c:pt idx="40">
                  <c:v>32570</c:v>
                </c:pt>
                <c:pt idx="41">
                  <c:v>44798</c:v>
                </c:pt>
                <c:pt idx="42">
                  <c:v>38093</c:v>
                </c:pt>
                <c:pt idx="43">
                  <c:v>37533</c:v>
                </c:pt>
                <c:pt idx="44">
                  <c:v>44092</c:v>
                </c:pt>
                <c:pt idx="45">
                  <c:v>63175</c:v>
                </c:pt>
                <c:pt idx="46">
                  <c:v>76327</c:v>
                </c:pt>
                <c:pt idx="47">
                  <c:v>80694</c:v>
                </c:pt>
                <c:pt idx="48">
                  <c:v>33427</c:v>
                </c:pt>
                <c:pt idx="49">
                  <c:v>67522</c:v>
                </c:pt>
                <c:pt idx="50">
                  <c:v>58949</c:v>
                </c:pt>
                <c:pt idx="51">
                  <c:v>41794</c:v>
                </c:pt>
                <c:pt idx="52">
                  <c:v>47759</c:v>
                </c:pt>
                <c:pt idx="53">
                  <c:v>56965</c:v>
                </c:pt>
                <c:pt idx="54">
                  <c:v>61449</c:v>
                </c:pt>
                <c:pt idx="55">
                  <c:v>57358</c:v>
                </c:pt>
                <c:pt idx="56">
                  <c:v>46793</c:v>
                </c:pt>
                <c:pt idx="57">
                  <c:v>77867</c:v>
                </c:pt>
                <c:pt idx="58">
                  <c:v>109178</c:v>
                </c:pt>
                <c:pt idx="59">
                  <c:v>99001</c:v>
                </c:pt>
                <c:pt idx="60">
                  <c:v>40446</c:v>
                </c:pt>
                <c:pt idx="61">
                  <c:v>37155</c:v>
                </c:pt>
                <c:pt idx="62">
                  <c:v>45781</c:v>
                </c:pt>
                <c:pt idx="63">
                  <c:v>42122</c:v>
                </c:pt>
                <c:pt idx="64">
                  <c:v>51740</c:v>
                </c:pt>
                <c:pt idx="65">
                  <c:v>73622</c:v>
                </c:pt>
                <c:pt idx="66">
                  <c:v>54394</c:v>
                </c:pt>
                <c:pt idx="67">
                  <c:v>72798</c:v>
                </c:pt>
                <c:pt idx="68">
                  <c:v>73286</c:v>
                </c:pt>
                <c:pt idx="69">
                  <c:v>90050</c:v>
                </c:pt>
                <c:pt idx="70">
                  <c:v>78306</c:v>
                </c:pt>
                <c:pt idx="71">
                  <c:v>152751</c:v>
                </c:pt>
                <c:pt idx="72">
                  <c:v>58295</c:v>
                </c:pt>
                <c:pt idx="73">
                  <c:v>69190</c:v>
                </c:pt>
                <c:pt idx="74">
                  <c:v>59599</c:v>
                </c:pt>
                <c:pt idx="75">
                  <c:v>75596</c:v>
                </c:pt>
                <c:pt idx="76">
                  <c:v>74525</c:v>
                </c:pt>
                <c:pt idx="77">
                  <c:v>112648</c:v>
                </c:pt>
                <c:pt idx="78">
                  <c:v>98663</c:v>
                </c:pt>
                <c:pt idx="79">
                  <c:v>89795</c:v>
                </c:pt>
                <c:pt idx="80">
                  <c:v>130334</c:v>
                </c:pt>
                <c:pt idx="81">
                  <c:v>103159</c:v>
                </c:pt>
                <c:pt idx="82">
                  <c:v>81258</c:v>
                </c:pt>
                <c:pt idx="83">
                  <c:v>162392</c:v>
                </c:pt>
                <c:pt idx="84">
                  <c:v>28143</c:v>
                </c:pt>
                <c:pt idx="85">
                  <c:v>41718</c:v>
                </c:pt>
                <c:pt idx="86">
                  <c:v>43368</c:v>
                </c:pt>
                <c:pt idx="87">
                  <c:v>55228</c:v>
                </c:pt>
                <c:pt idx="88">
                  <c:v>61064</c:v>
                </c:pt>
                <c:pt idx="89">
                  <c:v>57715</c:v>
                </c:pt>
                <c:pt idx="90">
                  <c:v>72256</c:v>
                </c:pt>
                <c:pt idx="91">
                  <c:v>50178</c:v>
                </c:pt>
                <c:pt idx="92">
                  <c:v>65144</c:v>
                </c:pt>
                <c:pt idx="93">
                  <c:v>86246</c:v>
                </c:pt>
                <c:pt idx="94">
                  <c:v>103292</c:v>
                </c:pt>
                <c:pt idx="95">
                  <c:v>95657</c:v>
                </c:pt>
                <c:pt idx="96">
                  <c:v>18081</c:v>
                </c:pt>
                <c:pt idx="97">
                  <c:v>21386</c:v>
                </c:pt>
                <c:pt idx="98">
                  <c:v>26734</c:v>
                </c:pt>
                <c:pt idx="99">
                  <c:v>28048</c:v>
                </c:pt>
                <c:pt idx="100">
                  <c:v>20207</c:v>
                </c:pt>
                <c:pt idx="101">
                  <c:v>30295</c:v>
                </c:pt>
                <c:pt idx="102">
                  <c:v>31594</c:v>
                </c:pt>
                <c:pt idx="103">
                  <c:v>32669</c:v>
                </c:pt>
                <c:pt idx="104">
                  <c:v>33223</c:v>
                </c:pt>
                <c:pt idx="105">
                  <c:v>40474</c:v>
                </c:pt>
                <c:pt idx="106">
                  <c:v>41692</c:v>
                </c:pt>
                <c:pt idx="107">
                  <c:v>37341</c:v>
                </c:pt>
                <c:pt idx="108">
                  <c:v>26446</c:v>
                </c:pt>
                <c:pt idx="109">
                  <c:v>50389</c:v>
                </c:pt>
                <c:pt idx="110">
                  <c:v>59168</c:v>
                </c:pt>
                <c:pt idx="111">
                  <c:v>51364</c:v>
                </c:pt>
                <c:pt idx="112">
                  <c:v>39415</c:v>
                </c:pt>
                <c:pt idx="113">
                  <c:v>67160</c:v>
                </c:pt>
                <c:pt idx="114">
                  <c:v>59818</c:v>
                </c:pt>
                <c:pt idx="115">
                  <c:v>63598</c:v>
                </c:pt>
                <c:pt idx="116">
                  <c:v>86509</c:v>
                </c:pt>
                <c:pt idx="117">
                  <c:v>98584</c:v>
                </c:pt>
                <c:pt idx="118">
                  <c:v>114049</c:v>
                </c:pt>
                <c:pt idx="119">
                  <c:v>91684</c:v>
                </c:pt>
                <c:pt idx="120">
                  <c:v>32329</c:v>
                </c:pt>
                <c:pt idx="121">
                  <c:v>35120</c:v>
                </c:pt>
                <c:pt idx="122">
                  <c:v>48255</c:v>
                </c:pt>
                <c:pt idx="123">
                  <c:v>47882</c:v>
                </c:pt>
                <c:pt idx="124">
                  <c:v>51773</c:v>
                </c:pt>
                <c:pt idx="125">
                  <c:v>45946</c:v>
                </c:pt>
                <c:pt idx="126">
                  <c:v>70696</c:v>
                </c:pt>
                <c:pt idx="127">
                  <c:v>61354</c:v>
                </c:pt>
                <c:pt idx="128">
                  <c:v>57142</c:v>
                </c:pt>
                <c:pt idx="129">
                  <c:v>68521</c:v>
                </c:pt>
                <c:pt idx="130">
                  <c:v>96205</c:v>
                </c:pt>
                <c:pt idx="131">
                  <c:v>103327</c:v>
                </c:pt>
                <c:pt idx="132">
                  <c:v>31152</c:v>
                </c:pt>
                <c:pt idx="133">
                  <c:v>28317</c:v>
                </c:pt>
                <c:pt idx="134">
                  <c:v>34138</c:v>
                </c:pt>
                <c:pt idx="135">
                  <c:v>29098</c:v>
                </c:pt>
                <c:pt idx="136">
                  <c:v>28311</c:v>
                </c:pt>
                <c:pt idx="137">
                  <c:v>38514</c:v>
                </c:pt>
                <c:pt idx="138">
                  <c:v>40640</c:v>
                </c:pt>
                <c:pt idx="139">
                  <c:v>41223</c:v>
                </c:pt>
                <c:pt idx="140">
                  <c:v>61896</c:v>
                </c:pt>
                <c:pt idx="141">
                  <c:v>63329</c:v>
                </c:pt>
                <c:pt idx="142">
                  <c:v>52399</c:v>
                </c:pt>
                <c:pt idx="143">
                  <c:v>77080</c:v>
                </c:pt>
                <c:pt idx="144">
                  <c:v>68778</c:v>
                </c:pt>
                <c:pt idx="145">
                  <c:v>84045</c:v>
                </c:pt>
                <c:pt idx="146">
                  <c:v>55200</c:v>
                </c:pt>
                <c:pt idx="147">
                  <c:v>49118</c:v>
                </c:pt>
                <c:pt idx="148">
                  <c:v>66131</c:v>
                </c:pt>
                <c:pt idx="149">
                  <c:v>82101</c:v>
                </c:pt>
                <c:pt idx="150">
                  <c:v>92769</c:v>
                </c:pt>
                <c:pt idx="151">
                  <c:v>112563</c:v>
                </c:pt>
                <c:pt idx="152">
                  <c:v>98381</c:v>
                </c:pt>
                <c:pt idx="153">
                  <c:v>133185</c:v>
                </c:pt>
                <c:pt idx="154">
                  <c:v>106974</c:v>
                </c:pt>
                <c:pt idx="155">
                  <c:v>128744</c:v>
                </c:pt>
                <c:pt idx="156">
                  <c:v>77226</c:v>
                </c:pt>
                <c:pt idx="157">
                  <c:v>109230</c:v>
                </c:pt>
                <c:pt idx="158">
                  <c:v>105704</c:v>
                </c:pt>
                <c:pt idx="159">
                  <c:v>147709</c:v>
                </c:pt>
                <c:pt idx="160">
                  <c:v>133034</c:v>
                </c:pt>
                <c:pt idx="161">
                  <c:v>120917</c:v>
                </c:pt>
                <c:pt idx="162">
                  <c:v>164108</c:v>
                </c:pt>
                <c:pt idx="163">
                  <c:v>137469</c:v>
                </c:pt>
                <c:pt idx="164">
                  <c:v>275436</c:v>
                </c:pt>
                <c:pt idx="165">
                  <c:v>222284</c:v>
                </c:pt>
                <c:pt idx="166">
                  <c:v>226387</c:v>
                </c:pt>
                <c:pt idx="167">
                  <c:v>267491</c:v>
                </c:pt>
              </c:numCache>
            </c:numRef>
          </c:xVal>
          <c:yVal>
            <c:numRef>
              <c:f>'Модель 3'!$I$29:$I$196</c:f>
              <c:numCache>
                <c:formatCode>General</c:formatCode>
                <c:ptCount val="168"/>
                <c:pt idx="0">
                  <c:v>-15287.374367665907</c:v>
                </c:pt>
                <c:pt idx="1">
                  <c:v>-5326.5191252467921</c:v>
                </c:pt>
                <c:pt idx="2">
                  <c:v>-3664.805231983657</c:v>
                </c:pt>
                <c:pt idx="3">
                  <c:v>-7978.5169336293766</c:v>
                </c:pt>
                <c:pt idx="4">
                  <c:v>-15796.438825287274</c:v>
                </c:pt>
                <c:pt idx="5">
                  <c:v>11532.690858142014</c:v>
                </c:pt>
                <c:pt idx="6">
                  <c:v>1306.176094796072</c:v>
                </c:pt>
                <c:pt idx="7">
                  <c:v>10176.741257739835</c:v>
                </c:pt>
                <c:pt idx="8">
                  <c:v>-24471.382360706339</c:v>
                </c:pt>
                <c:pt idx="9">
                  <c:v>19217.335076303279</c:v>
                </c:pt>
                <c:pt idx="10">
                  <c:v>58486.322986592189</c:v>
                </c:pt>
                <c:pt idx="11">
                  <c:v>27472.729016019963</c:v>
                </c:pt>
                <c:pt idx="12">
                  <c:v>-59950.038355082128</c:v>
                </c:pt>
                <c:pt idx="13">
                  <c:v>-36889.90421450467</c:v>
                </c:pt>
                <c:pt idx="14">
                  <c:v>-24852.117859858263</c:v>
                </c:pt>
                <c:pt idx="15">
                  <c:v>-9488.0099443468789</c:v>
                </c:pt>
                <c:pt idx="16">
                  <c:v>-17711.768112319842</c:v>
                </c:pt>
                <c:pt idx="17">
                  <c:v>-29792.417044471018</c:v>
                </c:pt>
                <c:pt idx="18">
                  <c:v>-24026.398465102422</c:v>
                </c:pt>
                <c:pt idx="19">
                  <c:v>-13419.925092353718</c:v>
                </c:pt>
                <c:pt idx="20">
                  <c:v>-22439.365854249976</c:v>
                </c:pt>
                <c:pt idx="21">
                  <c:v>-23037.418019575067</c:v>
                </c:pt>
                <c:pt idx="22">
                  <c:v>-14719.100676085334</c:v>
                </c:pt>
                <c:pt idx="23">
                  <c:v>30480.695569263189</c:v>
                </c:pt>
                <c:pt idx="24">
                  <c:v>-22850.653179765039</c:v>
                </c:pt>
                <c:pt idx="25">
                  <c:v>-29363.884950311302</c:v>
                </c:pt>
                <c:pt idx="26">
                  <c:v>6340.4163150797831</c:v>
                </c:pt>
                <c:pt idx="27">
                  <c:v>-19344.854315458186</c:v>
                </c:pt>
                <c:pt idx="28">
                  <c:v>638.41527677734848</c:v>
                </c:pt>
                <c:pt idx="29">
                  <c:v>14124.037189364346</c:v>
                </c:pt>
                <c:pt idx="30">
                  <c:v>-9340.936870604608</c:v>
                </c:pt>
                <c:pt idx="31">
                  <c:v>-15266.981936067372</c:v>
                </c:pt>
                <c:pt idx="32">
                  <c:v>-4719.9618217481184</c:v>
                </c:pt>
                <c:pt idx="33">
                  <c:v>6054.3987333793775</c:v>
                </c:pt>
                <c:pt idx="34">
                  <c:v>7868.3441816723498</c:v>
                </c:pt>
                <c:pt idx="35">
                  <c:v>25049.459403413057</c:v>
                </c:pt>
                <c:pt idx="36">
                  <c:v>-18616.619488287426</c:v>
                </c:pt>
                <c:pt idx="37">
                  <c:v>-17304.060162404174</c:v>
                </c:pt>
                <c:pt idx="38">
                  <c:v>8280.0343055045232</c:v>
                </c:pt>
                <c:pt idx="39">
                  <c:v>-12303.635738866287</c:v>
                </c:pt>
                <c:pt idx="40">
                  <c:v>-30148.440456555341</c:v>
                </c:pt>
                <c:pt idx="41">
                  <c:v>-1212.5485160929384</c:v>
                </c:pt>
                <c:pt idx="42">
                  <c:v>27765.790202513803</c:v>
                </c:pt>
                <c:pt idx="43">
                  <c:v>3542.3581165029318</c:v>
                </c:pt>
                <c:pt idx="44">
                  <c:v>11709.463530176872</c:v>
                </c:pt>
                <c:pt idx="45">
                  <c:v>-4066.1473763034446</c:v>
                </c:pt>
                <c:pt idx="46">
                  <c:v>22174.704674589797</c:v>
                </c:pt>
                <c:pt idx="47">
                  <c:v>20121.03111080674</c:v>
                </c:pt>
                <c:pt idx="48">
                  <c:v>-15260.81732059081</c:v>
                </c:pt>
                <c:pt idx="49">
                  <c:v>-15222.691929540597</c:v>
                </c:pt>
                <c:pt idx="50">
                  <c:v>9941.5417262570118</c:v>
                </c:pt>
                <c:pt idx="51">
                  <c:v>12574.059217405069</c:v>
                </c:pt>
                <c:pt idx="52">
                  <c:v>17137.285909796454</c:v>
                </c:pt>
                <c:pt idx="53">
                  <c:v>1625.7653791474586</c:v>
                </c:pt>
                <c:pt idx="54">
                  <c:v>38238.415068292496</c:v>
                </c:pt>
                <c:pt idx="55">
                  <c:v>29305.765153792658</c:v>
                </c:pt>
                <c:pt idx="56">
                  <c:v>35346.53347560871</c:v>
                </c:pt>
                <c:pt idx="57">
                  <c:v>34392.81528628862</c:v>
                </c:pt>
                <c:pt idx="58">
                  <c:v>78555.476893604064</c:v>
                </c:pt>
                <c:pt idx="59">
                  <c:v>29960.547387226776</c:v>
                </c:pt>
                <c:pt idx="60">
                  <c:v>-35794.63969881201</c:v>
                </c:pt>
                <c:pt idx="61">
                  <c:v>-13237.754282365786</c:v>
                </c:pt>
                <c:pt idx="62">
                  <c:v>-3634.4738187417388</c:v>
                </c:pt>
                <c:pt idx="63">
                  <c:v>-10280.322833667538</c:v>
                </c:pt>
                <c:pt idx="64">
                  <c:v>3144.8187780748121</c:v>
                </c:pt>
                <c:pt idx="65">
                  <c:v>-5684.7344363851298</c:v>
                </c:pt>
                <c:pt idx="66">
                  <c:v>1235.6547435684479</c:v>
                </c:pt>
                <c:pt idx="67">
                  <c:v>28008.938206842548</c:v>
                </c:pt>
                <c:pt idx="68">
                  <c:v>26282.473606972373</c:v>
                </c:pt>
                <c:pt idx="69">
                  <c:v>13014.033660516434</c:v>
                </c:pt>
                <c:pt idx="70">
                  <c:v>30552.249008299725</c:v>
                </c:pt>
                <c:pt idx="71">
                  <c:v>34417.676472372899</c:v>
                </c:pt>
                <c:pt idx="72">
                  <c:v>-12011.551272049634</c:v>
                </c:pt>
                <c:pt idx="73">
                  <c:v>3636.2406005783414</c:v>
                </c:pt>
                <c:pt idx="74">
                  <c:v>14922.491527864768</c:v>
                </c:pt>
                <c:pt idx="75">
                  <c:v>-4621.6481703573954</c:v>
                </c:pt>
                <c:pt idx="76">
                  <c:v>23551.942494150891</c:v>
                </c:pt>
                <c:pt idx="77">
                  <c:v>-5192.598562532221</c:v>
                </c:pt>
                <c:pt idx="78">
                  <c:v>38997.833392334665</c:v>
                </c:pt>
                <c:pt idx="79">
                  <c:v>13165.132926605118</c:v>
                </c:pt>
                <c:pt idx="80">
                  <c:v>37925.423455114593</c:v>
                </c:pt>
                <c:pt idx="81">
                  <c:v>27771.305472168315</c:v>
                </c:pt>
                <c:pt idx="82">
                  <c:v>52016.608318210347</c:v>
                </c:pt>
                <c:pt idx="83">
                  <c:v>9010.4096024441533</c:v>
                </c:pt>
                <c:pt idx="84">
                  <c:v>15333.067674219434</c:v>
                </c:pt>
                <c:pt idx="85">
                  <c:v>-5445.3224485750834</c:v>
                </c:pt>
                <c:pt idx="86">
                  <c:v>12364.947590740019</c:v>
                </c:pt>
                <c:pt idx="87">
                  <c:v>-12507.306414132647</c:v>
                </c:pt>
                <c:pt idx="88">
                  <c:v>-5973.0347850553808</c:v>
                </c:pt>
                <c:pt idx="89">
                  <c:v>27300.950788574468</c:v>
                </c:pt>
                <c:pt idx="90">
                  <c:v>30093.697676364536</c:v>
                </c:pt>
                <c:pt idx="91">
                  <c:v>487.61676385402097</c:v>
                </c:pt>
                <c:pt idx="92">
                  <c:v>30626.458337508258</c:v>
                </c:pt>
                <c:pt idx="93">
                  <c:v>43141.899597723706</c:v>
                </c:pt>
                <c:pt idx="94">
                  <c:v>7592.2293913167669</c:v>
                </c:pt>
                <c:pt idx="95">
                  <c:v>27935.393119579821</c:v>
                </c:pt>
                <c:pt idx="96">
                  <c:v>-18612.684408223897</c:v>
                </c:pt>
                <c:pt idx="97">
                  <c:v>-29698.328698068872</c:v>
                </c:pt>
                <c:pt idx="98">
                  <c:v>-22747.138061483274</c:v>
                </c:pt>
                <c:pt idx="99">
                  <c:v>4785.4135448680026</c:v>
                </c:pt>
                <c:pt idx="100">
                  <c:v>-7220.0965856627154</c:v>
                </c:pt>
                <c:pt idx="101">
                  <c:v>-4575.7369706705504</c:v>
                </c:pt>
                <c:pt idx="102">
                  <c:v>14493.667390078597</c:v>
                </c:pt>
                <c:pt idx="103">
                  <c:v>20995.714686041581</c:v>
                </c:pt>
                <c:pt idx="104">
                  <c:v>37303.175311941042</c:v>
                </c:pt>
                <c:pt idx="105">
                  <c:v>11337.555680615129</c:v>
                </c:pt>
                <c:pt idx="106">
                  <c:v>32007.702725417155</c:v>
                </c:pt>
                <c:pt idx="107">
                  <c:v>44804.135455699579</c:v>
                </c:pt>
                <c:pt idx="108">
                  <c:v>3925.9718794645742</c:v>
                </c:pt>
                <c:pt idx="109">
                  <c:v>-6531.5456152626721</c:v>
                </c:pt>
                <c:pt idx="110">
                  <c:v>-428.81807640660554</c:v>
                </c:pt>
                <c:pt idx="111">
                  <c:v>955.30294659448555</c:v>
                </c:pt>
                <c:pt idx="112">
                  <c:v>16485.061377567967</c:v>
                </c:pt>
                <c:pt idx="113">
                  <c:v>4790.1385773108923</c:v>
                </c:pt>
                <c:pt idx="114">
                  <c:v>29119.697592322947</c:v>
                </c:pt>
                <c:pt idx="115">
                  <c:v>38706.200205566391</c:v>
                </c:pt>
                <c:pt idx="116">
                  <c:v>13857.459026246768</c:v>
                </c:pt>
                <c:pt idx="117">
                  <c:v>52678.670943377394</c:v>
                </c:pt>
                <c:pt idx="118">
                  <c:v>3881.4517527959542</c:v>
                </c:pt>
                <c:pt idx="119">
                  <c:v>56331.40271151549</c:v>
                </c:pt>
                <c:pt idx="120">
                  <c:v>-10051.588531778543</c:v>
                </c:pt>
                <c:pt idx="121">
                  <c:v>-15238.914981692156</c:v>
                </c:pt>
                <c:pt idx="122">
                  <c:v>-14489.299568514805</c:v>
                </c:pt>
                <c:pt idx="123">
                  <c:v>-65394.438132067327</c:v>
                </c:pt>
                <c:pt idx="124">
                  <c:v>-45211.558847426088</c:v>
                </c:pt>
                <c:pt idx="125">
                  <c:v>-24307.997025757737</c:v>
                </c:pt>
                <c:pt idx="126">
                  <c:v>-24719.865284231666</c:v>
                </c:pt>
                <c:pt idx="127">
                  <c:v>346.23955747444415</c:v>
                </c:pt>
                <c:pt idx="128">
                  <c:v>-12604.630273849529</c:v>
                </c:pt>
                <c:pt idx="129">
                  <c:v>-49737.29172385647</c:v>
                </c:pt>
                <c:pt idx="130">
                  <c:v>-30361.14898536331</c:v>
                </c:pt>
                <c:pt idx="131">
                  <c:v>-4129.9045931628789</c:v>
                </c:pt>
                <c:pt idx="132">
                  <c:v>-23297.435471136356</c:v>
                </c:pt>
                <c:pt idx="133">
                  <c:v>-14558.545137560723</c:v>
                </c:pt>
                <c:pt idx="134">
                  <c:v>-24275.611965035467</c:v>
                </c:pt>
                <c:pt idx="135">
                  <c:v>-13968.934392942232</c:v>
                </c:pt>
                <c:pt idx="136">
                  <c:v>-29458.303075633972</c:v>
                </c:pt>
                <c:pt idx="137">
                  <c:v>-25161.811950137606</c:v>
                </c:pt>
                <c:pt idx="138">
                  <c:v>3580.0257640131458</c:v>
                </c:pt>
                <c:pt idx="139">
                  <c:v>5564.0322413368849</c:v>
                </c:pt>
                <c:pt idx="140">
                  <c:v>19990.362201408279</c:v>
                </c:pt>
                <c:pt idx="141">
                  <c:v>7941.8358550930279</c:v>
                </c:pt>
                <c:pt idx="142">
                  <c:v>10785.114604804548</c:v>
                </c:pt>
                <c:pt idx="143">
                  <c:v>40003.978720259038</c:v>
                </c:pt>
                <c:pt idx="144">
                  <c:v>-36742.294029644312</c:v>
                </c:pt>
                <c:pt idx="145">
                  <c:v>-12905.644096223114</c:v>
                </c:pt>
                <c:pt idx="146">
                  <c:v>1177.6139917882683</c:v>
                </c:pt>
                <c:pt idx="147">
                  <c:v>-23623.132238132093</c:v>
                </c:pt>
                <c:pt idx="148">
                  <c:v>-13091.739209602092</c:v>
                </c:pt>
                <c:pt idx="149">
                  <c:v>-13466.346832978772</c:v>
                </c:pt>
                <c:pt idx="150">
                  <c:v>-36565.326822196337</c:v>
                </c:pt>
                <c:pt idx="151">
                  <c:v>-23666.750095728989</c:v>
                </c:pt>
                <c:pt idx="152">
                  <c:v>2585.8103300351067</c:v>
                </c:pt>
                <c:pt idx="153">
                  <c:v>11601.252037576603</c:v>
                </c:pt>
                <c:pt idx="154">
                  <c:v>-7493.6744952212903</c:v>
                </c:pt>
                <c:pt idx="155">
                  <c:v>16865.183064570767</c:v>
                </c:pt>
                <c:pt idx="156">
                  <c:v>-28472.429756023834</c:v>
                </c:pt>
                <c:pt idx="157">
                  <c:v>-52130.071208797657</c:v>
                </c:pt>
                <c:pt idx="158">
                  <c:v>-27721.3139466336</c:v>
                </c:pt>
                <c:pt idx="159">
                  <c:v>-53514.62333530793</c:v>
                </c:pt>
                <c:pt idx="160">
                  <c:v>-19300.506943341607</c:v>
                </c:pt>
                <c:pt idx="161">
                  <c:v>11705.525234729401</c:v>
                </c:pt>
                <c:pt idx="162">
                  <c:v>-24317.637976571685</c:v>
                </c:pt>
                <c:pt idx="163">
                  <c:v>-19856.188860806578</c:v>
                </c:pt>
                <c:pt idx="164">
                  <c:v>-26776.320814243809</c:v>
                </c:pt>
                <c:pt idx="165">
                  <c:v>-7761.1440225463011</c:v>
                </c:pt>
                <c:pt idx="166">
                  <c:v>-16441.837782772083</c:v>
                </c:pt>
                <c:pt idx="167">
                  <c:v>-31668.805922127853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2CC-D044-8337-9A752F9F93D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70772048"/>
        <c:axId val="1696371184"/>
      </c:scatterChart>
      <c:valAx>
        <c:axId val="47077204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"/>
                  <a:t>X2</a:t>
                </a:r>
              </a:p>
            </c:rich>
          </c:tx>
          <c:overlay val="0"/>
        </c:title>
        <c:numFmt formatCode="#,##0" sourceLinked="1"/>
        <c:majorTickMark val="out"/>
        <c:minorTickMark val="none"/>
        <c:tickLblPos val="nextTo"/>
        <c:crossAx val="1696371184"/>
        <c:crosses val="autoZero"/>
        <c:crossBetween val="midCat"/>
      </c:valAx>
      <c:valAx>
        <c:axId val="1696371184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ru-RU"/>
                  <a:t>Остатки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470772048"/>
        <c:crosses val="autoZero"/>
        <c:crossBetween val="midCat"/>
      </c:valAx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"/>
              <a:t>X3 </a:t>
            </a:r>
            <a:r>
              <a:rPr lang="ru-RU"/>
              <a:t>График остатков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>
              <a:noFill/>
            </a:ln>
          </c:spPr>
          <c:xVal>
            <c:numRef>
              <c:f>'Модель 3'!$D$2:$D$169</c:f>
              <c:numCache>
                <c:formatCode>General</c:formatCode>
                <c:ptCount val="168"/>
                <c:pt idx="0">
                  <c:v>103.1</c:v>
                </c:pt>
                <c:pt idx="1">
                  <c:v>103.3</c:v>
                </c:pt>
                <c:pt idx="2">
                  <c:v>101.3</c:v>
                </c:pt>
                <c:pt idx="3">
                  <c:v>98.9</c:v>
                </c:pt>
                <c:pt idx="4">
                  <c:v>107.2</c:v>
                </c:pt>
                <c:pt idx="5">
                  <c:v>106</c:v>
                </c:pt>
                <c:pt idx="6">
                  <c:v>101.3</c:v>
                </c:pt>
                <c:pt idx="7">
                  <c:v>103.3</c:v>
                </c:pt>
                <c:pt idx="8">
                  <c:v>110.7</c:v>
                </c:pt>
                <c:pt idx="9">
                  <c:v>102.4</c:v>
                </c:pt>
                <c:pt idx="10">
                  <c:v>99.9</c:v>
                </c:pt>
                <c:pt idx="11">
                  <c:v>103.2</c:v>
                </c:pt>
                <c:pt idx="12">
                  <c:v>101.8</c:v>
                </c:pt>
                <c:pt idx="13">
                  <c:v>102.8</c:v>
                </c:pt>
                <c:pt idx="14">
                  <c:v>99.1</c:v>
                </c:pt>
                <c:pt idx="15">
                  <c:v>98.2</c:v>
                </c:pt>
                <c:pt idx="16">
                  <c:v>104</c:v>
                </c:pt>
                <c:pt idx="17">
                  <c:v>102.4</c:v>
                </c:pt>
                <c:pt idx="18">
                  <c:v>106.3</c:v>
                </c:pt>
                <c:pt idx="19">
                  <c:v>104.6</c:v>
                </c:pt>
                <c:pt idx="20">
                  <c:v>102.1</c:v>
                </c:pt>
                <c:pt idx="21">
                  <c:v>107.5</c:v>
                </c:pt>
                <c:pt idx="22">
                  <c:v>99.5</c:v>
                </c:pt>
                <c:pt idx="23">
                  <c:v>96.9</c:v>
                </c:pt>
                <c:pt idx="24">
                  <c:v>106.5</c:v>
                </c:pt>
                <c:pt idx="25">
                  <c:v>101.9</c:v>
                </c:pt>
                <c:pt idx="26">
                  <c:v>95.6</c:v>
                </c:pt>
                <c:pt idx="27">
                  <c:v>100.1</c:v>
                </c:pt>
                <c:pt idx="28">
                  <c:v>106.1</c:v>
                </c:pt>
                <c:pt idx="29">
                  <c:v>97.9</c:v>
                </c:pt>
                <c:pt idx="30">
                  <c:v>104.1</c:v>
                </c:pt>
                <c:pt idx="31">
                  <c:v>99</c:v>
                </c:pt>
                <c:pt idx="32">
                  <c:v>103.2</c:v>
                </c:pt>
                <c:pt idx="33">
                  <c:v>102.9</c:v>
                </c:pt>
                <c:pt idx="34">
                  <c:v>104.9</c:v>
                </c:pt>
                <c:pt idx="35">
                  <c:v>103.5</c:v>
                </c:pt>
                <c:pt idx="36">
                  <c:v>100.9</c:v>
                </c:pt>
                <c:pt idx="37">
                  <c:v>101.1</c:v>
                </c:pt>
                <c:pt idx="38">
                  <c:v>101</c:v>
                </c:pt>
                <c:pt idx="39">
                  <c:v>99.3</c:v>
                </c:pt>
                <c:pt idx="40">
                  <c:v>105</c:v>
                </c:pt>
                <c:pt idx="41">
                  <c:v>99</c:v>
                </c:pt>
                <c:pt idx="42">
                  <c:v>102.5</c:v>
                </c:pt>
                <c:pt idx="43">
                  <c:v>95.7</c:v>
                </c:pt>
                <c:pt idx="44">
                  <c:v>100.7</c:v>
                </c:pt>
                <c:pt idx="45">
                  <c:v>106.5</c:v>
                </c:pt>
                <c:pt idx="46">
                  <c:v>105</c:v>
                </c:pt>
                <c:pt idx="47">
                  <c:v>98.8</c:v>
                </c:pt>
                <c:pt idx="48">
                  <c:v>100.8</c:v>
                </c:pt>
                <c:pt idx="49">
                  <c:v>102.2</c:v>
                </c:pt>
                <c:pt idx="50">
                  <c:v>98.8</c:v>
                </c:pt>
                <c:pt idx="51">
                  <c:v>97.9</c:v>
                </c:pt>
                <c:pt idx="52">
                  <c:v>102.3</c:v>
                </c:pt>
                <c:pt idx="53">
                  <c:v>100.9</c:v>
                </c:pt>
                <c:pt idx="54">
                  <c:v>101.9</c:v>
                </c:pt>
                <c:pt idx="55">
                  <c:v>100.7</c:v>
                </c:pt>
                <c:pt idx="56">
                  <c:v>101</c:v>
                </c:pt>
                <c:pt idx="57">
                  <c:v>103.6</c:v>
                </c:pt>
                <c:pt idx="58">
                  <c:v>105.2</c:v>
                </c:pt>
                <c:pt idx="59">
                  <c:v>107.3</c:v>
                </c:pt>
                <c:pt idx="60">
                  <c:v>101</c:v>
                </c:pt>
                <c:pt idx="61">
                  <c:v>103.8</c:v>
                </c:pt>
                <c:pt idx="62">
                  <c:v>106.3</c:v>
                </c:pt>
                <c:pt idx="63">
                  <c:v>104.8</c:v>
                </c:pt>
                <c:pt idx="64">
                  <c:v>103.2</c:v>
                </c:pt>
                <c:pt idx="65">
                  <c:v>96.9</c:v>
                </c:pt>
                <c:pt idx="66">
                  <c:v>101.3</c:v>
                </c:pt>
                <c:pt idx="67">
                  <c:v>101.2</c:v>
                </c:pt>
                <c:pt idx="68">
                  <c:v>100</c:v>
                </c:pt>
                <c:pt idx="69">
                  <c:v>101.3</c:v>
                </c:pt>
                <c:pt idx="70">
                  <c:v>106.3</c:v>
                </c:pt>
                <c:pt idx="71">
                  <c:v>99.5</c:v>
                </c:pt>
                <c:pt idx="72">
                  <c:v>104.3</c:v>
                </c:pt>
                <c:pt idx="73">
                  <c:v>98.5</c:v>
                </c:pt>
                <c:pt idx="74">
                  <c:v>102.8</c:v>
                </c:pt>
                <c:pt idx="75">
                  <c:v>101.3</c:v>
                </c:pt>
                <c:pt idx="76">
                  <c:v>102.9</c:v>
                </c:pt>
                <c:pt idx="77">
                  <c:v>98.4</c:v>
                </c:pt>
                <c:pt idx="78">
                  <c:v>103.6</c:v>
                </c:pt>
                <c:pt idx="79">
                  <c:v>98.5</c:v>
                </c:pt>
                <c:pt idx="80">
                  <c:v>103.7</c:v>
                </c:pt>
                <c:pt idx="81">
                  <c:v>107.2</c:v>
                </c:pt>
                <c:pt idx="82">
                  <c:v>105.7</c:v>
                </c:pt>
                <c:pt idx="83">
                  <c:v>107.1</c:v>
                </c:pt>
                <c:pt idx="84">
                  <c:v>103.8</c:v>
                </c:pt>
                <c:pt idx="85">
                  <c:v>110.9</c:v>
                </c:pt>
                <c:pt idx="86">
                  <c:v>102.6</c:v>
                </c:pt>
                <c:pt idx="87">
                  <c:v>103.1</c:v>
                </c:pt>
                <c:pt idx="88">
                  <c:v>102.6</c:v>
                </c:pt>
                <c:pt idx="89">
                  <c:v>103.2</c:v>
                </c:pt>
                <c:pt idx="90">
                  <c:v>99</c:v>
                </c:pt>
                <c:pt idx="91">
                  <c:v>102</c:v>
                </c:pt>
                <c:pt idx="92">
                  <c:v>98.7</c:v>
                </c:pt>
                <c:pt idx="93">
                  <c:v>102.6</c:v>
                </c:pt>
                <c:pt idx="94">
                  <c:v>102.9</c:v>
                </c:pt>
                <c:pt idx="95">
                  <c:v>102</c:v>
                </c:pt>
                <c:pt idx="96">
                  <c:v>102.4</c:v>
                </c:pt>
                <c:pt idx="97">
                  <c:v>99.3</c:v>
                </c:pt>
                <c:pt idx="98">
                  <c:v>99.7</c:v>
                </c:pt>
                <c:pt idx="99">
                  <c:v>99.3</c:v>
                </c:pt>
                <c:pt idx="100">
                  <c:v>102.2</c:v>
                </c:pt>
                <c:pt idx="101">
                  <c:v>107.8</c:v>
                </c:pt>
                <c:pt idx="102">
                  <c:v>108.6</c:v>
                </c:pt>
                <c:pt idx="103">
                  <c:v>101.2</c:v>
                </c:pt>
                <c:pt idx="104">
                  <c:v>101</c:v>
                </c:pt>
                <c:pt idx="105">
                  <c:v>101.5</c:v>
                </c:pt>
                <c:pt idx="106">
                  <c:v>105.1</c:v>
                </c:pt>
                <c:pt idx="107">
                  <c:v>102</c:v>
                </c:pt>
                <c:pt idx="108">
                  <c:v>100.4</c:v>
                </c:pt>
                <c:pt idx="109">
                  <c:v>101</c:v>
                </c:pt>
                <c:pt idx="110">
                  <c:v>98.9</c:v>
                </c:pt>
                <c:pt idx="111">
                  <c:v>104.7</c:v>
                </c:pt>
                <c:pt idx="112">
                  <c:v>102.5</c:v>
                </c:pt>
                <c:pt idx="113">
                  <c:v>107.8</c:v>
                </c:pt>
                <c:pt idx="114">
                  <c:v>103.5</c:v>
                </c:pt>
                <c:pt idx="115">
                  <c:v>93.7</c:v>
                </c:pt>
                <c:pt idx="116">
                  <c:v>102.1</c:v>
                </c:pt>
                <c:pt idx="117">
                  <c:v>103.9</c:v>
                </c:pt>
                <c:pt idx="118">
                  <c:v>106.6</c:v>
                </c:pt>
                <c:pt idx="119">
                  <c:v>103</c:v>
                </c:pt>
                <c:pt idx="120">
                  <c:v>104.7</c:v>
                </c:pt>
                <c:pt idx="121">
                  <c:v>101.9</c:v>
                </c:pt>
                <c:pt idx="122">
                  <c:v>95.3</c:v>
                </c:pt>
                <c:pt idx="123">
                  <c:v>99.8</c:v>
                </c:pt>
                <c:pt idx="124">
                  <c:v>103.1</c:v>
                </c:pt>
                <c:pt idx="125">
                  <c:v>103.3</c:v>
                </c:pt>
                <c:pt idx="126">
                  <c:v>101.1</c:v>
                </c:pt>
                <c:pt idx="127">
                  <c:v>104.3</c:v>
                </c:pt>
                <c:pt idx="128">
                  <c:v>106.5</c:v>
                </c:pt>
                <c:pt idx="129">
                  <c:v>104.8</c:v>
                </c:pt>
                <c:pt idx="130">
                  <c:v>100.9</c:v>
                </c:pt>
                <c:pt idx="131">
                  <c:v>102.2</c:v>
                </c:pt>
                <c:pt idx="132">
                  <c:v>104.8</c:v>
                </c:pt>
                <c:pt idx="133">
                  <c:v>101.7</c:v>
                </c:pt>
                <c:pt idx="134">
                  <c:v>99.5</c:v>
                </c:pt>
                <c:pt idx="135">
                  <c:v>102.2</c:v>
                </c:pt>
                <c:pt idx="136">
                  <c:v>102.8</c:v>
                </c:pt>
                <c:pt idx="137">
                  <c:v>102.2</c:v>
                </c:pt>
                <c:pt idx="138">
                  <c:v>102.6</c:v>
                </c:pt>
                <c:pt idx="139">
                  <c:v>93.1</c:v>
                </c:pt>
                <c:pt idx="140">
                  <c:v>102.9</c:v>
                </c:pt>
                <c:pt idx="141">
                  <c:v>103.5</c:v>
                </c:pt>
                <c:pt idx="142">
                  <c:v>101.2</c:v>
                </c:pt>
                <c:pt idx="143">
                  <c:v>104.8</c:v>
                </c:pt>
                <c:pt idx="144">
                  <c:v>104.9</c:v>
                </c:pt>
                <c:pt idx="145">
                  <c:v>104.4</c:v>
                </c:pt>
                <c:pt idx="146">
                  <c:v>102</c:v>
                </c:pt>
                <c:pt idx="147">
                  <c:v>104</c:v>
                </c:pt>
                <c:pt idx="148">
                  <c:v>105.4</c:v>
                </c:pt>
                <c:pt idx="149">
                  <c:v>100.1</c:v>
                </c:pt>
                <c:pt idx="150">
                  <c:v>97.4</c:v>
                </c:pt>
                <c:pt idx="151">
                  <c:v>100.4</c:v>
                </c:pt>
                <c:pt idx="152">
                  <c:v>103.5</c:v>
                </c:pt>
                <c:pt idx="153">
                  <c:v>104.3</c:v>
                </c:pt>
                <c:pt idx="154">
                  <c:v>101.1</c:v>
                </c:pt>
                <c:pt idx="155">
                  <c:v>101.7</c:v>
                </c:pt>
                <c:pt idx="156">
                  <c:v>102.2</c:v>
                </c:pt>
                <c:pt idx="157">
                  <c:v>103.2</c:v>
                </c:pt>
                <c:pt idx="158">
                  <c:v>99.3</c:v>
                </c:pt>
                <c:pt idx="159">
                  <c:v>104.5</c:v>
                </c:pt>
                <c:pt idx="160">
                  <c:v>102.7</c:v>
                </c:pt>
                <c:pt idx="161">
                  <c:v>99.8</c:v>
                </c:pt>
                <c:pt idx="162">
                  <c:v>106.2</c:v>
                </c:pt>
                <c:pt idx="163">
                  <c:v>95.5</c:v>
                </c:pt>
                <c:pt idx="164">
                  <c:v>99.2</c:v>
                </c:pt>
                <c:pt idx="165">
                  <c:v>101.5</c:v>
                </c:pt>
                <c:pt idx="166">
                  <c:v>96.9</c:v>
                </c:pt>
                <c:pt idx="167">
                  <c:v>104.3</c:v>
                </c:pt>
              </c:numCache>
            </c:numRef>
          </c:xVal>
          <c:yVal>
            <c:numRef>
              <c:f>'Модель 3'!$I$29:$I$196</c:f>
              <c:numCache>
                <c:formatCode>General</c:formatCode>
                <c:ptCount val="168"/>
                <c:pt idx="0">
                  <c:v>-15287.374367665907</c:v>
                </c:pt>
                <c:pt idx="1">
                  <c:v>-5326.5191252467921</c:v>
                </c:pt>
                <c:pt idx="2">
                  <c:v>-3664.805231983657</c:v>
                </c:pt>
                <c:pt idx="3">
                  <c:v>-7978.5169336293766</c:v>
                </c:pt>
                <c:pt idx="4">
                  <c:v>-15796.438825287274</c:v>
                </c:pt>
                <c:pt idx="5">
                  <c:v>11532.690858142014</c:v>
                </c:pt>
                <c:pt idx="6">
                  <c:v>1306.176094796072</c:v>
                </c:pt>
                <c:pt idx="7">
                  <c:v>10176.741257739835</c:v>
                </c:pt>
                <c:pt idx="8">
                  <c:v>-24471.382360706339</c:v>
                </c:pt>
                <c:pt idx="9">
                  <c:v>19217.335076303279</c:v>
                </c:pt>
                <c:pt idx="10">
                  <c:v>58486.322986592189</c:v>
                </c:pt>
                <c:pt idx="11">
                  <c:v>27472.729016019963</c:v>
                </c:pt>
                <c:pt idx="12">
                  <c:v>-59950.038355082128</c:v>
                </c:pt>
                <c:pt idx="13">
                  <c:v>-36889.90421450467</c:v>
                </c:pt>
                <c:pt idx="14">
                  <c:v>-24852.117859858263</c:v>
                </c:pt>
                <c:pt idx="15">
                  <c:v>-9488.0099443468789</c:v>
                </c:pt>
                <c:pt idx="16">
                  <c:v>-17711.768112319842</c:v>
                </c:pt>
                <c:pt idx="17">
                  <c:v>-29792.417044471018</c:v>
                </c:pt>
                <c:pt idx="18">
                  <c:v>-24026.398465102422</c:v>
                </c:pt>
                <c:pt idx="19">
                  <c:v>-13419.925092353718</c:v>
                </c:pt>
                <c:pt idx="20">
                  <c:v>-22439.365854249976</c:v>
                </c:pt>
                <c:pt idx="21">
                  <c:v>-23037.418019575067</c:v>
                </c:pt>
                <c:pt idx="22">
                  <c:v>-14719.100676085334</c:v>
                </c:pt>
                <c:pt idx="23">
                  <c:v>30480.695569263189</c:v>
                </c:pt>
                <c:pt idx="24">
                  <c:v>-22850.653179765039</c:v>
                </c:pt>
                <c:pt idx="25">
                  <c:v>-29363.884950311302</c:v>
                </c:pt>
                <c:pt idx="26">
                  <c:v>6340.4163150797831</c:v>
                </c:pt>
                <c:pt idx="27">
                  <c:v>-19344.854315458186</c:v>
                </c:pt>
                <c:pt idx="28">
                  <c:v>638.41527677734848</c:v>
                </c:pt>
                <c:pt idx="29">
                  <c:v>14124.037189364346</c:v>
                </c:pt>
                <c:pt idx="30">
                  <c:v>-9340.936870604608</c:v>
                </c:pt>
                <c:pt idx="31">
                  <c:v>-15266.981936067372</c:v>
                </c:pt>
                <c:pt idx="32">
                  <c:v>-4719.9618217481184</c:v>
                </c:pt>
                <c:pt idx="33">
                  <c:v>6054.3987333793775</c:v>
                </c:pt>
                <c:pt idx="34">
                  <c:v>7868.3441816723498</c:v>
                </c:pt>
                <c:pt idx="35">
                  <c:v>25049.459403413057</c:v>
                </c:pt>
                <c:pt idx="36">
                  <c:v>-18616.619488287426</c:v>
                </c:pt>
                <c:pt idx="37">
                  <c:v>-17304.060162404174</c:v>
                </c:pt>
                <c:pt idx="38">
                  <c:v>8280.0343055045232</c:v>
                </c:pt>
                <c:pt idx="39">
                  <c:v>-12303.635738866287</c:v>
                </c:pt>
                <c:pt idx="40">
                  <c:v>-30148.440456555341</c:v>
                </c:pt>
                <c:pt idx="41">
                  <c:v>-1212.5485160929384</c:v>
                </c:pt>
                <c:pt idx="42">
                  <c:v>27765.790202513803</c:v>
                </c:pt>
                <c:pt idx="43">
                  <c:v>3542.3581165029318</c:v>
                </c:pt>
                <c:pt idx="44">
                  <c:v>11709.463530176872</c:v>
                </c:pt>
                <c:pt idx="45">
                  <c:v>-4066.1473763034446</c:v>
                </c:pt>
                <c:pt idx="46">
                  <c:v>22174.704674589797</c:v>
                </c:pt>
                <c:pt idx="47">
                  <c:v>20121.03111080674</c:v>
                </c:pt>
                <c:pt idx="48">
                  <c:v>-15260.81732059081</c:v>
                </c:pt>
                <c:pt idx="49">
                  <c:v>-15222.691929540597</c:v>
                </c:pt>
                <c:pt idx="50">
                  <c:v>9941.5417262570118</c:v>
                </c:pt>
                <c:pt idx="51">
                  <c:v>12574.059217405069</c:v>
                </c:pt>
                <c:pt idx="52">
                  <c:v>17137.285909796454</c:v>
                </c:pt>
                <c:pt idx="53">
                  <c:v>1625.7653791474586</c:v>
                </c:pt>
                <c:pt idx="54">
                  <c:v>38238.415068292496</c:v>
                </c:pt>
                <c:pt idx="55">
                  <c:v>29305.765153792658</c:v>
                </c:pt>
                <c:pt idx="56">
                  <c:v>35346.53347560871</c:v>
                </c:pt>
                <c:pt idx="57">
                  <c:v>34392.81528628862</c:v>
                </c:pt>
                <c:pt idx="58">
                  <c:v>78555.476893604064</c:v>
                </c:pt>
                <c:pt idx="59">
                  <c:v>29960.547387226776</c:v>
                </c:pt>
                <c:pt idx="60">
                  <c:v>-35794.63969881201</c:v>
                </c:pt>
                <c:pt idx="61">
                  <c:v>-13237.754282365786</c:v>
                </c:pt>
                <c:pt idx="62">
                  <c:v>-3634.4738187417388</c:v>
                </c:pt>
                <c:pt idx="63">
                  <c:v>-10280.322833667538</c:v>
                </c:pt>
                <c:pt idx="64">
                  <c:v>3144.8187780748121</c:v>
                </c:pt>
                <c:pt idx="65">
                  <c:v>-5684.7344363851298</c:v>
                </c:pt>
                <c:pt idx="66">
                  <c:v>1235.6547435684479</c:v>
                </c:pt>
                <c:pt idx="67">
                  <c:v>28008.938206842548</c:v>
                </c:pt>
                <c:pt idx="68">
                  <c:v>26282.473606972373</c:v>
                </c:pt>
                <c:pt idx="69">
                  <c:v>13014.033660516434</c:v>
                </c:pt>
                <c:pt idx="70">
                  <c:v>30552.249008299725</c:v>
                </c:pt>
                <c:pt idx="71">
                  <c:v>34417.676472372899</c:v>
                </c:pt>
                <c:pt idx="72">
                  <c:v>-12011.551272049634</c:v>
                </c:pt>
                <c:pt idx="73">
                  <c:v>3636.2406005783414</c:v>
                </c:pt>
                <c:pt idx="74">
                  <c:v>14922.491527864768</c:v>
                </c:pt>
                <c:pt idx="75">
                  <c:v>-4621.6481703573954</c:v>
                </c:pt>
                <c:pt idx="76">
                  <c:v>23551.942494150891</c:v>
                </c:pt>
                <c:pt idx="77">
                  <c:v>-5192.598562532221</c:v>
                </c:pt>
                <c:pt idx="78">
                  <c:v>38997.833392334665</c:v>
                </c:pt>
                <c:pt idx="79">
                  <c:v>13165.132926605118</c:v>
                </c:pt>
                <c:pt idx="80">
                  <c:v>37925.423455114593</c:v>
                </c:pt>
                <c:pt idx="81">
                  <c:v>27771.305472168315</c:v>
                </c:pt>
                <c:pt idx="82">
                  <c:v>52016.608318210347</c:v>
                </c:pt>
                <c:pt idx="83">
                  <c:v>9010.4096024441533</c:v>
                </c:pt>
                <c:pt idx="84">
                  <c:v>15333.067674219434</c:v>
                </c:pt>
                <c:pt idx="85">
                  <c:v>-5445.3224485750834</c:v>
                </c:pt>
                <c:pt idx="86">
                  <c:v>12364.947590740019</c:v>
                </c:pt>
                <c:pt idx="87">
                  <c:v>-12507.306414132647</c:v>
                </c:pt>
                <c:pt idx="88">
                  <c:v>-5973.0347850553808</c:v>
                </c:pt>
                <c:pt idx="89">
                  <c:v>27300.950788574468</c:v>
                </c:pt>
                <c:pt idx="90">
                  <c:v>30093.697676364536</c:v>
                </c:pt>
                <c:pt idx="91">
                  <c:v>487.61676385402097</c:v>
                </c:pt>
                <c:pt idx="92">
                  <c:v>30626.458337508258</c:v>
                </c:pt>
                <c:pt idx="93">
                  <c:v>43141.899597723706</c:v>
                </c:pt>
                <c:pt idx="94">
                  <c:v>7592.2293913167669</c:v>
                </c:pt>
                <c:pt idx="95">
                  <c:v>27935.393119579821</c:v>
                </c:pt>
                <c:pt idx="96">
                  <c:v>-18612.684408223897</c:v>
                </c:pt>
                <c:pt idx="97">
                  <c:v>-29698.328698068872</c:v>
                </c:pt>
                <c:pt idx="98">
                  <c:v>-22747.138061483274</c:v>
                </c:pt>
                <c:pt idx="99">
                  <c:v>4785.4135448680026</c:v>
                </c:pt>
                <c:pt idx="100">
                  <c:v>-7220.0965856627154</c:v>
                </c:pt>
                <c:pt idx="101">
                  <c:v>-4575.7369706705504</c:v>
                </c:pt>
                <c:pt idx="102">
                  <c:v>14493.667390078597</c:v>
                </c:pt>
                <c:pt idx="103">
                  <c:v>20995.714686041581</c:v>
                </c:pt>
                <c:pt idx="104">
                  <c:v>37303.175311941042</c:v>
                </c:pt>
                <c:pt idx="105">
                  <c:v>11337.555680615129</c:v>
                </c:pt>
                <c:pt idx="106">
                  <c:v>32007.702725417155</c:v>
                </c:pt>
                <c:pt idx="107">
                  <c:v>44804.135455699579</c:v>
                </c:pt>
                <c:pt idx="108">
                  <c:v>3925.9718794645742</c:v>
                </c:pt>
                <c:pt idx="109">
                  <c:v>-6531.5456152626721</c:v>
                </c:pt>
                <c:pt idx="110">
                  <c:v>-428.81807640660554</c:v>
                </c:pt>
                <c:pt idx="111">
                  <c:v>955.30294659448555</c:v>
                </c:pt>
                <c:pt idx="112">
                  <c:v>16485.061377567967</c:v>
                </c:pt>
                <c:pt idx="113">
                  <c:v>4790.1385773108923</c:v>
                </c:pt>
                <c:pt idx="114">
                  <c:v>29119.697592322947</c:v>
                </c:pt>
                <c:pt idx="115">
                  <c:v>38706.200205566391</c:v>
                </c:pt>
                <c:pt idx="116">
                  <c:v>13857.459026246768</c:v>
                </c:pt>
                <c:pt idx="117">
                  <c:v>52678.670943377394</c:v>
                </c:pt>
                <c:pt idx="118">
                  <c:v>3881.4517527959542</c:v>
                </c:pt>
                <c:pt idx="119">
                  <c:v>56331.40271151549</c:v>
                </c:pt>
                <c:pt idx="120">
                  <c:v>-10051.588531778543</c:v>
                </c:pt>
                <c:pt idx="121">
                  <c:v>-15238.914981692156</c:v>
                </c:pt>
                <c:pt idx="122">
                  <c:v>-14489.299568514805</c:v>
                </c:pt>
                <c:pt idx="123">
                  <c:v>-65394.438132067327</c:v>
                </c:pt>
                <c:pt idx="124">
                  <c:v>-45211.558847426088</c:v>
                </c:pt>
                <c:pt idx="125">
                  <c:v>-24307.997025757737</c:v>
                </c:pt>
                <c:pt idx="126">
                  <c:v>-24719.865284231666</c:v>
                </c:pt>
                <c:pt idx="127">
                  <c:v>346.23955747444415</c:v>
                </c:pt>
                <c:pt idx="128">
                  <c:v>-12604.630273849529</c:v>
                </c:pt>
                <c:pt idx="129">
                  <c:v>-49737.29172385647</c:v>
                </c:pt>
                <c:pt idx="130">
                  <c:v>-30361.14898536331</c:v>
                </c:pt>
                <c:pt idx="131">
                  <c:v>-4129.9045931628789</c:v>
                </c:pt>
                <c:pt idx="132">
                  <c:v>-23297.435471136356</c:v>
                </c:pt>
                <c:pt idx="133">
                  <c:v>-14558.545137560723</c:v>
                </c:pt>
                <c:pt idx="134">
                  <c:v>-24275.611965035467</c:v>
                </c:pt>
                <c:pt idx="135">
                  <c:v>-13968.934392942232</c:v>
                </c:pt>
                <c:pt idx="136">
                  <c:v>-29458.303075633972</c:v>
                </c:pt>
                <c:pt idx="137">
                  <c:v>-25161.811950137606</c:v>
                </c:pt>
                <c:pt idx="138">
                  <c:v>3580.0257640131458</c:v>
                </c:pt>
                <c:pt idx="139">
                  <c:v>5564.0322413368849</c:v>
                </c:pt>
                <c:pt idx="140">
                  <c:v>19990.362201408279</c:v>
                </c:pt>
                <c:pt idx="141">
                  <c:v>7941.8358550930279</c:v>
                </c:pt>
                <c:pt idx="142">
                  <c:v>10785.114604804548</c:v>
                </c:pt>
                <c:pt idx="143">
                  <c:v>40003.978720259038</c:v>
                </c:pt>
                <c:pt idx="144">
                  <c:v>-36742.294029644312</c:v>
                </c:pt>
                <c:pt idx="145">
                  <c:v>-12905.644096223114</c:v>
                </c:pt>
                <c:pt idx="146">
                  <c:v>1177.6139917882683</c:v>
                </c:pt>
                <c:pt idx="147">
                  <c:v>-23623.132238132093</c:v>
                </c:pt>
                <c:pt idx="148">
                  <c:v>-13091.739209602092</c:v>
                </c:pt>
                <c:pt idx="149">
                  <c:v>-13466.346832978772</c:v>
                </c:pt>
                <c:pt idx="150">
                  <c:v>-36565.326822196337</c:v>
                </c:pt>
                <c:pt idx="151">
                  <c:v>-23666.750095728989</c:v>
                </c:pt>
                <c:pt idx="152">
                  <c:v>2585.8103300351067</c:v>
                </c:pt>
                <c:pt idx="153">
                  <c:v>11601.252037576603</c:v>
                </c:pt>
                <c:pt idx="154">
                  <c:v>-7493.6744952212903</c:v>
                </c:pt>
                <c:pt idx="155">
                  <c:v>16865.183064570767</c:v>
                </c:pt>
                <c:pt idx="156">
                  <c:v>-28472.429756023834</c:v>
                </c:pt>
                <c:pt idx="157">
                  <c:v>-52130.071208797657</c:v>
                </c:pt>
                <c:pt idx="158">
                  <c:v>-27721.3139466336</c:v>
                </c:pt>
                <c:pt idx="159">
                  <c:v>-53514.62333530793</c:v>
                </c:pt>
                <c:pt idx="160">
                  <c:v>-19300.506943341607</c:v>
                </c:pt>
                <c:pt idx="161">
                  <c:v>11705.525234729401</c:v>
                </c:pt>
                <c:pt idx="162">
                  <c:v>-24317.637976571685</c:v>
                </c:pt>
                <c:pt idx="163">
                  <c:v>-19856.188860806578</c:v>
                </c:pt>
                <c:pt idx="164">
                  <c:v>-26776.320814243809</c:v>
                </c:pt>
                <c:pt idx="165">
                  <c:v>-7761.1440225463011</c:v>
                </c:pt>
                <c:pt idx="166">
                  <c:v>-16441.837782772083</c:v>
                </c:pt>
                <c:pt idx="167">
                  <c:v>-31668.805922127853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8C9-F04B-AD7E-73DFC7DF0A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95024496"/>
        <c:axId val="1695026144"/>
      </c:scatterChart>
      <c:valAx>
        <c:axId val="169502449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"/>
                  <a:t>X3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695026144"/>
        <c:crosses val="autoZero"/>
        <c:crossBetween val="midCat"/>
      </c:valAx>
      <c:valAx>
        <c:axId val="1695026144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ru-RU"/>
                  <a:t>Остатки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695024496"/>
        <c:crosses val="autoZero"/>
        <c:crossBetween val="midCat"/>
      </c:valAx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"/>
              <a:t>X4 </a:t>
            </a:r>
            <a:r>
              <a:rPr lang="ru-RU"/>
              <a:t>График остатков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>
              <a:noFill/>
            </a:ln>
          </c:spPr>
          <c:xVal>
            <c:numRef>
              <c:f>'Модель 3'!$E$2:$E$169</c:f>
              <c:numCache>
                <c:formatCode>#,##0</c:formatCode>
                <c:ptCount val="168"/>
                <c:pt idx="0">
                  <c:v>99341</c:v>
                </c:pt>
                <c:pt idx="1">
                  <c:v>101110</c:v>
                </c:pt>
                <c:pt idx="2">
                  <c:v>94569</c:v>
                </c:pt>
                <c:pt idx="3">
                  <c:v>96833</c:v>
                </c:pt>
                <c:pt idx="4">
                  <c:v>91346</c:v>
                </c:pt>
                <c:pt idx="5">
                  <c:v>94647</c:v>
                </c:pt>
                <c:pt idx="6">
                  <c:v>103308</c:v>
                </c:pt>
                <c:pt idx="7">
                  <c:v>119986</c:v>
                </c:pt>
                <c:pt idx="8">
                  <c:v>99392</c:v>
                </c:pt>
                <c:pt idx="9">
                  <c:v>115192</c:v>
                </c:pt>
                <c:pt idx="10">
                  <c:v>99813</c:v>
                </c:pt>
                <c:pt idx="11">
                  <c:v>95203</c:v>
                </c:pt>
                <c:pt idx="12">
                  <c:v>69254</c:v>
                </c:pt>
                <c:pt idx="13">
                  <c:v>71125</c:v>
                </c:pt>
                <c:pt idx="14">
                  <c:v>67522</c:v>
                </c:pt>
                <c:pt idx="15">
                  <c:v>73118</c:v>
                </c:pt>
                <c:pt idx="16">
                  <c:v>63967</c:v>
                </c:pt>
                <c:pt idx="17">
                  <c:v>74011</c:v>
                </c:pt>
                <c:pt idx="18">
                  <c:v>75645</c:v>
                </c:pt>
                <c:pt idx="19">
                  <c:v>81074</c:v>
                </c:pt>
                <c:pt idx="20">
                  <c:v>80687</c:v>
                </c:pt>
                <c:pt idx="21">
                  <c:v>67253</c:v>
                </c:pt>
                <c:pt idx="22">
                  <c:v>83188</c:v>
                </c:pt>
                <c:pt idx="23">
                  <c:v>79746</c:v>
                </c:pt>
                <c:pt idx="24">
                  <c:v>24948</c:v>
                </c:pt>
                <c:pt idx="25">
                  <c:v>26850</c:v>
                </c:pt>
                <c:pt idx="26">
                  <c:v>26738</c:v>
                </c:pt>
                <c:pt idx="27">
                  <c:v>27370</c:v>
                </c:pt>
                <c:pt idx="28">
                  <c:v>24990</c:v>
                </c:pt>
                <c:pt idx="29">
                  <c:v>26581</c:v>
                </c:pt>
                <c:pt idx="30">
                  <c:v>28251</c:v>
                </c:pt>
                <c:pt idx="31">
                  <c:v>27319</c:v>
                </c:pt>
                <c:pt idx="32">
                  <c:v>24739</c:v>
                </c:pt>
                <c:pt idx="33">
                  <c:v>27770</c:v>
                </c:pt>
                <c:pt idx="34">
                  <c:v>29276</c:v>
                </c:pt>
                <c:pt idx="35">
                  <c:v>28423</c:v>
                </c:pt>
                <c:pt idx="36">
                  <c:v>80817</c:v>
                </c:pt>
                <c:pt idx="37">
                  <c:v>86549</c:v>
                </c:pt>
                <c:pt idx="38">
                  <c:v>102608</c:v>
                </c:pt>
                <c:pt idx="39">
                  <c:v>96401</c:v>
                </c:pt>
                <c:pt idx="40">
                  <c:v>87206</c:v>
                </c:pt>
                <c:pt idx="41">
                  <c:v>101859</c:v>
                </c:pt>
                <c:pt idx="42">
                  <c:v>102275</c:v>
                </c:pt>
                <c:pt idx="43">
                  <c:v>85835</c:v>
                </c:pt>
                <c:pt idx="44">
                  <c:v>99766</c:v>
                </c:pt>
                <c:pt idx="45">
                  <c:v>98763</c:v>
                </c:pt>
                <c:pt idx="46">
                  <c:v>111782</c:v>
                </c:pt>
                <c:pt idx="47">
                  <c:v>103116</c:v>
                </c:pt>
                <c:pt idx="48">
                  <c:v>46594</c:v>
                </c:pt>
                <c:pt idx="49">
                  <c:v>48177</c:v>
                </c:pt>
                <c:pt idx="50">
                  <c:v>46288</c:v>
                </c:pt>
                <c:pt idx="51">
                  <c:v>45733</c:v>
                </c:pt>
                <c:pt idx="52">
                  <c:v>44252</c:v>
                </c:pt>
                <c:pt idx="53">
                  <c:v>48678</c:v>
                </c:pt>
                <c:pt idx="54">
                  <c:v>46385</c:v>
                </c:pt>
                <c:pt idx="55">
                  <c:v>44696</c:v>
                </c:pt>
                <c:pt idx="56">
                  <c:v>47969</c:v>
                </c:pt>
                <c:pt idx="57">
                  <c:v>52851</c:v>
                </c:pt>
                <c:pt idx="58">
                  <c:v>56746</c:v>
                </c:pt>
                <c:pt idx="59">
                  <c:v>51800</c:v>
                </c:pt>
                <c:pt idx="60">
                  <c:v>42994</c:v>
                </c:pt>
                <c:pt idx="61">
                  <c:v>38173</c:v>
                </c:pt>
                <c:pt idx="62">
                  <c:v>40321</c:v>
                </c:pt>
                <c:pt idx="63">
                  <c:v>35394</c:v>
                </c:pt>
                <c:pt idx="64">
                  <c:v>43592</c:v>
                </c:pt>
                <c:pt idx="65">
                  <c:v>44244</c:v>
                </c:pt>
                <c:pt idx="66">
                  <c:v>38524</c:v>
                </c:pt>
                <c:pt idx="67">
                  <c:v>44818</c:v>
                </c:pt>
                <c:pt idx="68">
                  <c:v>50510</c:v>
                </c:pt>
                <c:pt idx="69">
                  <c:v>46005</c:v>
                </c:pt>
                <c:pt idx="70">
                  <c:v>46414</c:v>
                </c:pt>
                <c:pt idx="71">
                  <c:v>50190</c:v>
                </c:pt>
                <c:pt idx="72">
                  <c:v>151364</c:v>
                </c:pt>
                <c:pt idx="73">
                  <c:v>159699</c:v>
                </c:pt>
                <c:pt idx="74">
                  <c:v>154197</c:v>
                </c:pt>
                <c:pt idx="75">
                  <c:v>169284</c:v>
                </c:pt>
                <c:pt idx="76">
                  <c:v>179920</c:v>
                </c:pt>
                <c:pt idx="77">
                  <c:v>161160</c:v>
                </c:pt>
                <c:pt idx="78">
                  <c:v>162489</c:v>
                </c:pt>
                <c:pt idx="79">
                  <c:v>150797</c:v>
                </c:pt>
                <c:pt idx="80">
                  <c:v>151680</c:v>
                </c:pt>
                <c:pt idx="81">
                  <c:v>172123</c:v>
                </c:pt>
                <c:pt idx="82">
                  <c:v>157511</c:v>
                </c:pt>
                <c:pt idx="83">
                  <c:v>157260</c:v>
                </c:pt>
                <c:pt idx="84">
                  <c:v>177407</c:v>
                </c:pt>
                <c:pt idx="85">
                  <c:v>179552</c:v>
                </c:pt>
                <c:pt idx="86">
                  <c:v>185734</c:v>
                </c:pt>
                <c:pt idx="87">
                  <c:v>160216</c:v>
                </c:pt>
                <c:pt idx="88">
                  <c:v>156764</c:v>
                </c:pt>
                <c:pt idx="89">
                  <c:v>179308</c:v>
                </c:pt>
                <c:pt idx="90">
                  <c:v>205622</c:v>
                </c:pt>
                <c:pt idx="91">
                  <c:v>183620</c:v>
                </c:pt>
                <c:pt idx="92">
                  <c:v>193227</c:v>
                </c:pt>
                <c:pt idx="93">
                  <c:v>164385</c:v>
                </c:pt>
                <c:pt idx="94">
                  <c:v>206916</c:v>
                </c:pt>
                <c:pt idx="95">
                  <c:v>198279</c:v>
                </c:pt>
                <c:pt idx="96">
                  <c:v>37033</c:v>
                </c:pt>
                <c:pt idx="97">
                  <c:v>35717</c:v>
                </c:pt>
                <c:pt idx="98">
                  <c:v>38881</c:v>
                </c:pt>
                <c:pt idx="99">
                  <c:v>35163</c:v>
                </c:pt>
                <c:pt idx="100">
                  <c:v>36011</c:v>
                </c:pt>
                <c:pt idx="101">
                  <c:v>33807</c:v>
                </c:pt>
                <c:pt idx="102">
                  <c:v>40853</c:v>
                </c:pt>
                <c:pt idx="103">
                  <c:v>39193</c:v>
                </c:pt>
                <c:pt idx="104">
                  <c:v>39835</c:v>
                </c:pt>
                <c:pt idx="105">
                  <c:v>39752</c:v>
                </c:pt>
                <c:pt idx="106">
                  <c:v>39223</c:v>
                </c:pt>
                <c:pt idx="107">
                  <c:v>40044</c:v>
                </c:pt>
                <c:pt idx="108">
                  <c:v>45583</c:v>
                </c:pt>
                <c:pt idx="109">
                  <c:v>41361</c:v>
                </c:pt>
                <c:pt idx="110">
                  <c:v>45577</c:v>
                </c:pt>
                <c:pt idx="111">
                  <c:v>51091</c:v>
                </c:pt>
                <c:pt idx="112">
                  <c:v>48327</c:v>
                </c:pt>
                <c:pt idx="113">
                  <c:v>48552</c:v>
                </c:pt>
                <c:pt idx="114">
                  <c:v>55106</c:v>
                </c:pt>
                <c:pt idx="115">
                  <c:v>50781</c:v>
                </c:pt>
                <c:pt idx="116">
                  <c:v>42583</c:v>
                </c:pt>
                <c:pt idx="117">
                  <c:v>49191</c:v>
                </c:pt>
                <c:pt idx="118">
                  <c:v>49125</c:v>
                </c:pt>
                <c:pt idx="119">
                  <c:v>52639</c:v>
                </c:pt>
                <c:pt idx="120">
                  <c:v>183728</c:v>
                </c:pt>
                <c:pt idx="121">
                  <c:v>162571</c:v>
                </c:pt>
                <c:pt idx="122">
                  <c:v>177213</c:v>
                </c:pt>
                <c:pt idx="123">
                  <c:v>173792</c:v>
                </c:pt>
                <c:pt idx="124">
                  <c:v>156636</c:v>
                </c:pt>
                <c:pt idx="125">
                  <c:v>188588</c:v>
                </c:pt>
                <c:pt idx="126">
                  <c:v>159682</c:v>
                </c:pt>
                <c:pt idx="127">
                  <c:v>169391</c:v>
                </c:pt>
                <c:pt idx="128">
                  <c:v>193558</c:v>
                </c:pt>
                <c:pt idx="129">
                  <c:v>177893</c:v>
                </c:pt>
                <c:pt idx="130">
                  <c:v>196725</c:v>
                </c:pt>
                <c:pt idx="131">
                  <c:v>188423</c:v>
                </c:pt>
                <c:pt idx="132">
                  <c:v>24704</c:v>
                </c:pt>
                <c:pt idx="133">
                  <c:v>25029</c:v>
                </c:pt>
                <c:pt idx="134">
                  <c:v>26560</c:v>
                </c:pt>
                <c:pt idx="135">
                  <c:v>23360</c:v>
                </c:pt>
                <c:pt idx="136">
                  <c:v>25925</c:v>
                </c:pt>
                <c:pt idx="137">
                  <c:v>24795</c:v>
                </c:pt>
                <c:pt idx="138">
                  <c:v>26275</c:v>
                </c:pt>
                <c:pt idx="139">
                  <c:v>26152</c:v>
                </c:pt>
                <c:pt idx="140">
                  <c:v>28671</c:v>
                </c:pt>
                <c:pt idx="141">
                  <c:v>25837</c:v>
                </c:pt>
                <c:pt idx="142">
                  <c:v>27873</c:v>
                </c:pt>
                <c:pt idx="143">
                  <c:v>28178</c:v>
                </c:pt>
                <c:pt idx="144">
                  <c:v>52985</c:v>
                </c:pt>
                <c:pt idx="145">
                  <c:v>61112</c:v>
                </c:pt>
                <c:pt idx="146">
                  <c:v>60468</c:v>
                </c:pt>
                <c:pt idx="147">
                  <c:v>63440</c:v>
                </c:pt>
                <c:pt idx="148">
                  <c:v>65401</c:v>
                </c:pt>
                <c:pt idx="149">
                  <c:v>70123</c:v>
                </c:pt>
                <c:pt idx="150">
                  <c:v>65545</c:v>
                </c:pt>
                <c:pt idx="151">
                  <c:v>57625</c:v>
                </c:pt>
                <c:pt idx="152">
                  <c:v>64694</c:v>
                </c:pt>
                <c:pt idx="153">
                  <c:v>78871</c:v>
                </c:pt>
                <c:pt idx="154">
                  <c:v>63457</c:v>
                </c:pt>
                <c:pt idx="155">
                  <c:v>64635</c:v>
                </c:pt>
                <c:pt idx="156">
                  <c:v>73493</c:v>
                </c:pt>
                <c:pt idx="157">
                  <c:v>78676</c:v>
                </c:pt>
                <c:pt idx="158">
                  <c:v>85768</c:v>
                </c:pt>
                <c:pt idx="159">
                  <c:v>84218</c:v>
                </c:pt>
                <c:pt idx="160">
                  <c:v>93585</c:v>
                </c:pt>
                <c:pt idx="161">
                  <c:v>87674</c:v>
                </c:pt>
                <c:pt idx="162">
                  <c:v>85560</c:v>
                </c:pt>
                <c:pt idx="163">
                  <c:v>84650</c:v>
                </c:pt>
                <c:pt idx="164">
                  <c:v>79569</c:v>
                </c:pt>
                <c:pt idx="165">
                  <c:v>91322</c:v>
                </c:pt>
                <c:pt idx="166">
                  <c:v>92128</c:v>
                </c:pt>
                <c:pt idx="167">
                  <c:v>89870</c:v>
                </c:pt>
              </c:numCache>
            </c:numRef>
          </c:xVal>
          <c:yVal>
            <c:numRef>
              <c:f>'Модель 3'!$I$29:$I$196</c:f>
              <c:numCache>
                <c:formatCode>General</c:formatCode>
                <c:ptCount val="168"/>
                <c:pt idx="0">
                  <c:v>-15287.374367665907</c:v>
                </c:pt>
                <c:pt idx="1">
                  <c:v>-5326.5191252467921</c:v>
                </c:pt>
                <c:pt idx="2">
                  <c:v>-3664.805231983657</c:v>
                </c:pt>
                <c:pt idx="3">
                  <c:v>-7978.5169336293766</c:v>
                </c:pt>
                <c:pt idx="4">
                  <c:v>-15796.438825287274</c:v>
                </c:pt>
                <c:pt idx="5">
                  <c:v>11532.690858142014</c:v>
                </c:pt>
                <c:pt idx="6">
                  <c:v>1306.176094796072</c:v>
                </c:pt>
                <c:pt idx="7">
                  <c:v>10176.741257739835</c:v>
                </c:pt>
                <c:pt idx="8">
                  <c:v>-24471.382360706339</c:v>
                </c:pt>
                <c:pt idx="9">
                  <c:v>19217.335076303279</c:v>
                </c:pt>
                <c:pt idx="10">
                  <c:v>58486.322986592189</c:v>
                </c:pt>
                <c:pt idx="11">
                  <c:v>27472.729016019963</c:v>
                </c:pt>
                <c:pt idx="12">
                  <c:v>-59950.038355082128</c:v>
                </c:pt>
                <c:pt idx="13">
                  <c:v>-36889.90421450467</c:v>
                </c:pt>
                <c:pt idx="14">
                  <c:v>-24852.117859858263</c:v>
                </c:pt>
                <c:pt idx="15">
                  <c:v>-9488.0099443468789</c:v>
                </c:pt>
                <c:pt idx="16">
                  <c:v>-17711.768112319842</c:v>
                </c:pt>
                <c:pt idx="17">
                  <c:v>-29792.417044471018</c:v>
                </c:pt>
                <c:pt idx="18">
                  <c:v>-24026.398465102422</c:v>
                </c:pt>
                <c:pt idx="19">
                  <c:v>-13419.925092353718</c:v>
                </c:pt>
                <c:pt idx="20">
                  <c:v>-22439.365854249976</c:v>
                </c:pt>
                <c:pt idx="21">
                  <c:v>-23037.418019575067</c:v>
                </c:pt>
                <c:pt idx="22">
                  <c:v>-14719.100676085334</c:v>
                </c:pt>
                <c:pt idx="23">
                  <c:v>30480.695569263189</c:v>
                </c:pt>
                <c:pt idx="24">
                  <c:v>-22850.653179765039</c:v>
                </c:pt>
                <c:pt idx="25">
                  <c:v>-29363.884950311302</c:v>
                </c:pt>
                <c:pt idx="26">
                  <c:v>6340.4163150797831</c:v>
                </c:pt>
                <c:pt idx="27">
                  <c:v>-19344.854315458186</c:v>
                </c:pt>
                <c:pt idx="28">
                  <c:v>638.41527677734848</c:v>
                </c:pt>
                <c:pt idx="29">
                  <c:v>14124.037189364346</c:v>
                </c:pt>
                <c:pt idx="30">
                  <c:v>-9340.936870604608</c:v>
                </c:pt>
                <c:pt idx="31">
                  <c:v>-15266.981936067372</c:v>
                </c:pt>
                <c:pt idx="32">
                  <c:v>-4719.9618217481184</c:v>
                </c:pt>
                <c:pt idx="33">
                  <c:v>6054.3987333793775</c:v>
                </c:pt>
                <c:pt idx="34">
                  <c:v>7868.3441816723498</c:v>
                </c:pt>
                <c:pt idx="35">
                  <c:v>25049.459403413057</c:v>
                </c:pt>
                <c:pt idx="36">
                  <c:v>-18616.619488287426</c:v>
                </c:pt>
                <c:pt idx="37">
                  <c:v>-17304.060162404174</c:v>
                </c:pt>
                <c:pt idx="38">
                  <c:v>8280.0343055045232</c:v>
                </c:pt>
                <c:pt idx="39">
                  <c:v>-12303.635738866287</c:v>
                </c:pt>
                <c:pt idx="40">
                  <c:v>-30148.440456555341</c:v>
                </c:pt>
                <c:pt idx="41">
                  <c:v>-1212.5485160929384</c:v>
                </c:pt>
                <c:pt idx="42">
                  <c:v>27765.790202513803</c:v>
                </c:pt>
                <c:pt idx="43">
                  <c:v>3542.3581165029318</c:v>
                </c:pt>
                <c:pt idx="44">
                  <c:v>11709.463530176872</c:v>
                </c:pt>
                <c:pt idx="45">
                  <c:v>-4066.1473763034446</c:v>
                </c:pt>
                <c:pt idx="46">
                  <c:v>22174.704674589797</c:v>
                </c:pt>
                <c:pt idx="47">
                  <c:v>20121.03111080674</c:v>
                </c:pt>
                <c:pt idx="48">
                  <c:v>-15260.81732059081</c:v>
                </c:pt>
                <c:pt idx="49">
                  <c:v>-15222.691929540597</c:v>
                </c:pt>
                <c:pt idx="50">
                  <c:v>9941.5417262570118</c:v>
                </c:pt>
                <c:pt idx="51">
                  <c:v>12574.059217405069</c:v>
                </c:pt>
                <c:pt idx="52">
                  <c:v>17137.285909796454</c:v>
                </c:pt>
                <c:pt idx="53">
                  <c:v>1625.7653791474586</c:v>
                </c:pt>
                <c:pt idx="54">
                  <c:v>38238.415068292496</c:v>
                </c:pt>
                <c:pt idx="55">
                  <c:v>29305.765153792658</c:v>
                </c:pt>
                <c:pt idx="56">
                  <c:v>35346.53347560871</c:v>
                </c:pt>
                <c:pt idx="57">
                  <c:v>34392.81528628862</c:v>
                </c:pt>
                <c:pt idx="58">
                  <c:v>78555.476893604064</c:v>
                </c:pt>
                <c:pt idx="59">
                  <c:v>29960.547387226776</c:v>
                </c:pt>
                <c:pt idx="60">
                  <c:v>-35794.63969881201</c:v>
                </c:pt>
                <c:pt idx="61">
                  <c:v>-13237.754282365786</c:v>
                </c:pt>
                <c:pt idx="62">
                  <c:v>-3634.4738187417388</c:v>
                </c:pt>
                <c:pt idx="63">
                  <c:v>-10280.322833667538</c:v>
                </c:pt>
                <c:pt idx="64">
                  <c:v>3144.8187780748121</c:v>
                </c:pt>
                <c:pt idx="65">
                  <c:v>-5684.7344363851298</c:v>
                </c:pt>
                <c:pt idx="66">
                  <c:v>1235.6547435684479</c:v>
                </c:pt>
                <c:pt idx="67">
                  <c:v>28008.938206842548</c:v>
                </c:pt>
                <c:pt idx="68">
                  <c:v>26282.473606972373</c:v>
                </c:pt>
                <c:pt idx="69">
                  <c:v>13014.033660516434</c:v>
                </c:pt>
                <c:pt idx="70">
                  <c:v>30552.249008299725</c:v>
                </c:pt>
                <c:pt idx="71">
                  <c:v>34417.676472372899</c:v>
                </c:pt>
                <c:pt idx="72">
                  <c:v>-12011.551272049634</c:v>
                </c:pt>
                <c:pt idx="73">
                  <c:v>3636.2406005783414</c:v>
                </c:pt>
                <c:pt idx="74">
                  <c:v>14922.491527864768</c:v>
                </c:pt>
                <c:pt idx="75">
                  <c:v>-4621.6481703573954</c:v>
                </c:pt>
                <c:pt idx="76">
                  <c:v>23551.942494150891</c:v>
                </c:pt>
                <c:pt idx="77">
                  <c:v>-5192.598562532221</c:v>
                </c:pt>
                <c:pt idx="78">
                  <c:v>38997.833392334665</c:v>
                </c:pt>
                <c:pt idx="79">
                  <c:v>13165.132926605118</c:v>
                </c:pt>
                <c:pt idx="80">
                  <c:v>37925.423455114593</c:v>
                </c:pt>
                <c:pt idx="81">
                  <c:v>27771.305472168315</c:v>
                </c:pt>
                <c:pt idx="82">
                  <c:v>52016.608318210347</c:v>
                </c:pt>
                <c:pt idx="83">
                  <c:v>9010.4096024441533</c:v>
                </c:pt>
                <c:pt idx="84">
                  <c:v>15333.067674219434</c:v>
                </c:pt>
                <c:pt idx="85">
                  <c:v>-5445.3224485750834</c:v>
                </c:pt>
                <c:pt idx="86">
                  <c:v>12364.947590740019</c:v>
                </c:pt>
                <c:pt idx="87">
                  <c:v>-12507.306414132647</c:v>
                </c:pt>
                <c:pt idx="88">
                  <c:v>-5973.0347850553808</c:v>
                </c:pt>
                <c:pt idx="89">
                  <c:v>27300.950788574468</c:v>
                </c:pt>
                <c:pt idx="90">
                  <c:v>30093.697676364536</c:v>
                </c:pt>
                <c:pt idx="91">
                  <c:v>487.61676385402097</c:v>
                </c:pt>
                <c:pt idx="92">
                  <c:v>30626.458337508258</c:v>
                </c:pt>
                <c:pt idx="93">
                  <c:v>43141.899597723706</c:v>
                </c:pt>
                <c:pt idx="94">
                  <c:v>7592.2293913167669</c:v>
                </c:pt>
                <c:pt idx="95">
                  <c:v>27935.393119579821</c:v>
                </c:pt>
                <c:pt idx="96">
                  <c:v>-18612.684408223897</c:v>
                </c:pt>
                <c:pt idx="97">
                  <c:v>-29698.328698068872</c:v>
                </c:pt>
                <c:pt idx="98">
                  <c:v>-22747.138061483274</c:v>
                </c:pt>
                <c:pt idx="99">
                  <c:v>4785.4135448680026</c:v>
                </c:pt>
                <c:pt idx="100">
                  <c:v>-7220.0965856627154</c:v>
                </c:pt>
                <c:pt idx="101">
                  <c:v>-4575.7369706705504</c:v>
                </c:pt>
                <c:pt idx="102">
                  <c:v>14493.667390078597</c:v>
                </c:pt>
                <c:pt idx="103">
                  <c:v>20995.714686041581</c:v>
                </c:pt>
                <c:pt idx="104">
                  <c:v>37303.175311941042</c:v>
                </c:pt>
                <c:pt idx="105">
                  <c:v>11337.555680615129</c:v>
                </c:pt>
                <c:pt idx="106">
                  <c:v>32007.702725417155</c:v>
                </c:pt>
                <c:pt idx="107">
                  <c:v>44804.135455699579</c:v>
                </c:pt>
                <c:pt idx="108">
                  <c:v>3925.9718794645742</c:v>
                </c:pt>
                <c:pt idx="109">
                  <c:v>-6531.5456152626721</c:v>
                </c:pt>
                <c:pt idx="110">
                  <c:v>-428.81807640660554</c:v>
                </c:pt>
                <c:pt idx="111">
                  <c:v>955.30294659448555</c:v>
                </c:pt>
                <c:pt idx="112">
                  <c:v>16485.061377567967</c:v>
                </c:pt>
                <c:pt idx="113">
                  <c:v>4790.1385773108923</c:v>
                </c:pt>
                <c:pt idx="114">
                  <c:v>29119.697592322947</c:v>
                </c:pt>
                <c:pt idx="115">
                  <c:v>38706.200205566391</c:v>
                </c:pt>
                <c:pt idx="116">
                  <c:v>13857.459026246768</c:v>
                </c:pt>
                <c:pt idx="117">
                  <c:v>52678.670943377394</c:v>
                </c:pt>
                <c:pt idx="118">
                  <c:v>3881.4517527959542</c:v>
                </c:pt>
                <c:pt idx="119">
                  <c:v>56331.40271151549</c:v>
                </c:pt>
                <c:pt idx="120">
                  <c:v>-10051.588531778543</c:v>
                </c:pt>
                <c:pt idx="121">
                  <c:v>-15238.914981692156</c:v>
                </c:pt>
                <c:pt idx="122">
                  <c:v>-14489.299568514805</c:v>
                </c:pt>
                <c:pt idx="123">
                  <c:v>-65394.438132067327</c:v>
                </c:pt>
                <c:pt idx="124">
                  <c:v>-45211.558847426088</c:v>
                </c:pt>
                <c:pt idx="125">
                  <c:v>-24307.997025757737</c:v>
                </c:pt>
                <c:pt idx="126">
                  <c:v>-24719.865284231666</c:v>
                </c:pt>
                <c:pt idx="127">
                  <c:v>346.23955747444415</c:v>
                </c:pt>
                <c:pt idx="128">
                  <c:v>-12604.630273849529</c:v>
                </c:pt>
                <c:pt idx="129">
                  <c:v>-49737.29172385647</c:v>
                </c:pt>
                <c:pt idx="130">
                  <c:v>-30361.14898536331</c:v>
                </c:pt>
                <c:pt idx="131">
                  <c:v>-4129.9045931628789</c:v>
                </c:pt>
                <c:pt idx="132">
                  <c:v>-23297.435471136356</c:v>
                </c:pt>
                <c:pt idx="133">
                  <c:v>-14558.545137560723</c:v>
                </c:pt>
                <c:pt idx="134">
                  <c:v>-24275.611965035467</c:v>
                </c:pt>
                <c:pt idx="135">
                  <c:v>-13968.934392942232</c:v>
                </c:pt>
                <c:pt idx="136">
                  <c:v>-29458.303075633972</c:v>
                </c:pt>
                <c:pt idx="137">
                  <c:v>-25161.811950137606</c:v>
                </c:pt>
                <c:pt idx="138">
                  <c:v>3580.0257640131458</c:v>
                </c:pt>
                <c:pt idx="139">
                  <c:v>5564.0322413368849</c:v>
                </c:pt>
                <c:pt idx="140">
                  <c:v>19990.362201408279</c:v>
                </c:pt>
                <c:pt idx="141">
                  <c:v>7941.8358550930279</c:v>
                </c:pt>
                <c:pt idx="142">
                  <c:v>10785.114604804548</c:v>
                </c:pt>
                <c:pt idx="143">
                  <c:v>40003.978720259038</c:v>
                </c:pt>
                <c:pt idx="144">
                  <c:v>-36742.294029644312</c:v>
                </c:pt>
                <c:pt idx="145">
                  <c:v>-12905.644096223114</c:v>
                </c:pt>
                <c:pt idx="146">
                  <c:v>1177.6139917882683</c:v>
                </c:pt>
                <c:pt idx="147">
                  <c:v>-23623.132238132093</c:v>
                </c:pt>
                <c:pt idx="148">
                  <c:v>-13091.739209602092</c:v>
                </c:pt>
                <c:pt idx="149">
                  <c:v>-13466.346832978772</c:v>
                </c:pt>
                <c:pt idx="150">
                  <c:v>-36565.326822196337</c:v>
                </c:pt>
                <c:pt idx="151">
                  <c:v>-23666.750095728989</c:v>
                </c:pt>
                <c:pt idx="152">
                  <c:v>2585.8103300351067</c:v>
                </c:pt>
                <c:pt idx="153">
                  <c:v>11601.252037576603</c:v>
                </c:pt>
                <c:pt idx="154">
                  <c:v>-7493.6744952212903</c:v>
                </c:pt>
                <c:pt idx="155">
                  <c:v>16865.183064570767</c:v>
                </c:pt>
                <c:pt idx="156">
                  <c:v>-28472.429756023834</c:v>
                </c:pt>
                <c:pt idx="157">
                  <c:v>-52130.071208797657</c:v>
                </c:pt>
                <c:pt idx="158">
                  <c:v>-27721.3139466336</c:v>
                </c:pt>
                <c:pt idx="159">
                  <c:v>-53514.62333530793</c:v>
                </c:pt>
                <c:pt idx="160">
                  <c:v>-19300.506943341607</c:v>
                </c:pt>
                <c:pt idx="161">
                  <c:v>11705.525234729401</c:v>
                </c:pt>
                <c:pt idx="162">
                  <c:v>-24317.637976571685</c:v>
                </c:pt>
                <c:pt idx="163">
                  <c:v>-19856.188860806578</c:v>
                </c:pt>
                <c:pt idx="164">
                  <c:v>-26776.320814243809</c:v>
                </c:pt>
                <c:pt idx="165">
                  <c:v>-7761.1440225463011</c:v>
                </c:pt>
                <c:pt idx="166">
                  <c:v>-16441.837782772083</c:v>
                </c:pt>
                <c:pt idx="167">
                  <c:v>-31668.805922127853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721-524B-9F22-588A23439F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95024496"/>
        <c:axId val="1654035408"/>
      </c:scatterChart>
      <c:valAx>
        <c:axId val="169502449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"/>
                  <a:t>X4</a:t>
                </a:r>
              </a:p>
            </c:rich>
          </c:tx>
          <c:overlay val="0"/>
        </c:title>
        <c:numFmt formatCode="#,##0" sourceLinked="1"/>
        <c:majorTickMark val="out"/>
        <c:minorTickMark val="none"/>
        <c:tickLblPos val="nextTo"/>
        <c:crossAx val="1654035408"/>
        <c:crosses val="autoZero"/>
        <c:crossBetween val="midCat"/>
      </c:valAx>
      <c:valAx>
        <c:axId val="1654035408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ru-RU"/>
                  <a:t>Остатки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695024496"/>
        <c:crosses val="autoZero"/>
        <c:crossBetween val="midCat"/>
      </c:valAx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.xml"/><Relationship Id="rId2" Type="http://schemas.openxmlformats.org/officeDocument/2006/relationships/chart" Target="../charts/chart7.xml"/><Relationship Id="rId1" Type="http://schemas.openxmlformats.org/officeDocument/2006/relationships/chart" Target="../charts/chart6.xml"/><Relationship Id="rId4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435953</xdr:colOff>
      <xdr:row>0</xdr:row>
      <xdr:rowOff>12038</xdr:rowOff>
    </xdr:from>
    <xdr:to>
      <xdr:col>19</xdr:col>
      <xdr:colOff>2589</xdr:colOff>
      <xdr:row>10</xdr:row>
      <xdr:rowOff>12701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AC33992F-CE50-5A42-A477-B781AE4715F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419100</xdr:colOff>
      <xdr:row>3</xdr:row>
      <xdr:rowOff>25400</xdr:rowOff>
    </xdr:from>
    <xdr:to>
      <xdr:col>23</xdr:col>
      <xdr:colOff>101600</xdr:colOff>
      <xdr:row>13</xdr:row>
      <xdr:rowOff>25400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28C29BD0-BBEF-1E48-B55E-A8263F1F349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457200</xdr:colOff>
      <xdr:row>3</xdr:row>
      <xdr:rowOff>38100</xdr:rowOff>
    </xdr:from>
    <xdr:to>
      <xdr:col>19</xdr:col>
      <xdr:colOff>457200</xdr:colOff>
      <xdr:row>13</xdr:row>
      <xdr:rowOff>50800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068ECB28-4523-3F4D-B22E-58CF39B8218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457200</xdr:colOff>
      <xdr:row>5</xdr:row>
      <xdr:rowOff>50800</xdr:rowOff>
    </xdr:from>
    <xdr:to>
      <xdr:col>20</xdr:col>
      <xdr:colOff>457200</xdr:colOff>
      <xdr:row>15</xdr:row>
      <xdr:rowOff>38100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AE9371B3-1289-E848-99C4-67DCC6E4A3C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15</xdr:col>
      <xdr:colOff>457200</xdr:colOff>
      <xdr:row>7</xdr:row>
      <xdr:rowOff>50800</xdr:rowOff>
    </xdr:from>
    <xdr:to>
      <xdr:col>21</xdr:col>
      <xdr:colOff>457200</xdr:colOff>
      <xdr:row>17</xdr:row>
      <xdr:rowOff>38100</xdr:rowOff>
    </xdr:to>
    <xdr:graphicFrame macro="">
      <xdr:nvGraphicFramePr>
        <xdr:cNvPr id="4" name="Диаграмма 3">
          <a:extLst>
            <a:ext uri="{FF2B5EF4-FFF2-40B4-BE49-F238E27FC236}">
              <a16:creationId xmlns:a16="http://schemas.microsoft.com/office/drawing/2014/main" id="{9CCA305D-5A2C-1D4D-9B57-8F3A915E145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457200</xdr:colOff>
      <xdr:row>2</xdr:row>
      <xdr:rowOff>38100</xdr:rowOff>
    </xdr:from>
    <xdr:to>
      <xdr:col>21</xdr:col>
      <xdr:colOff>457200</xdr:colOff>
      <xdr:row>12</xdr:row>
      <xdr:rowOff>38100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F7E2703D-00BA-E04A-9499-AD46FE7BF10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457200</xdr:colOff>
      <xdr:row>4</xdr:row>
      <xdr:rowOff>38100</xdr:rowOff>
    </xdr:from>
    <xdr:to>
      <xdr:col>22</xdr:col>
      <xdr:colOff>457200</xdr:colOff>
      <xdr:row>14</xdr:row>
      <xdr:rowOff>38100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D3041ADD-92DC-1747-9509-EF589041EFD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17</xdr:col>
      <xdr:colOff>457200</xdr:colOff>
      <xdr:row>6</xdr:row>
      <xdr:rowOff>38100</xdr:rowOff>
    </xdr:from>
    <xdr:to>
      <xdr:col>23</xdr:col>
      <xdr:colOff>457200</xdr:colOff>
      <xdr:row>16</xdr:row>
      <xdr:rowOff>25400</xdr:rowOff>
    </xdr:to>
    <xdr:graphicFrame macro="">
      <xdr:nvGraphicFramePr>
        <xdr:cNvPr id="4" name="Диаграмма 3">
          <a:extLst>
            <a:ext uri="{FF2B5EF4-FFF2-40B4-BE49-F238E27FC236}">
              <a16:creationId xmlns:a16="http://schemas.microsoft.com/office/drawing/2014/main" id="{650AF96C-325B-4E44-AA06-9EFB7595CA8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18</xdr:col>
      <xdr:colOff>457200</xdr:colOff>
      <xdr:row>8</xdr:row>
      <xdr:rowOff>38100</xdr:rowOff>
    </xdr:from>
    <xdr:to>
      <xdr:col>24</xdr:col>
      <xdr:colOff>457200</xdr:colOff>
      <xdr:row>18</xdr:row>
      <xdr:rowOff>38100</xdr:rowOff>
    </xdr:to>
    <xdr:graphicFrame macro="">
      <xdr:nvGraphicFramePr>
        <xdr:cNvPr id="5" name="Диаграмма 4">
          <a:extLst>
            <a:ext uri="{FF2B5EF4-FFF2-40B4-BE49-F238E27FC236}">
              <a16:creationId xmlns:a16="http://schemas.microsoft.com/office/drawing/2014/main" id="{8CCA4A87-9147-EE49-BCA0-E2D24DC6C6C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0702DF-6568-7446-BBD6-BA2D88E46DF7}">
  <dimension ref="A1:H169"/>
  <sheetViews>
    <sheetView zoomScale="130" zoomScaleNormal="130" workbookViewId="0">
      <selection activeCell="F14" sqref="F14"/>
    </sheetView>
  </sheetViews>
  <sheetFormatPr baseColWidth="10" defaultRowHeight="16" x14ac:dyDescent="0.2"/>
  <cols>
    <col min="1" max="1" width="20.1640625" bestFit="1" customWidth="1"/>
    <col min="2" max="2" width="11.33203125" customWidth="1"/>
    <col min="3" max="3" width="25" bestFit="1" customWidth="1"/>
    <col min="4" max="4" width="25.5" bestFit="1" customWidth="1"/>
    <col min="5" max="5" width="19.83203125" bestFit="1" customWidth="1"/>
    <col min="6" max="6" width="19.1640625" bestFit="1" customWidth="1"/>
    <col min="7" max="7" width="17.33203125" bestFit="1" customWidth="1"/>
    <col min="8" max="8" width="17.6640625" customWidth="1"/>
  </cols>
  <sheetData>
    <row r="1" spans="1:8" ht="56" customHeight="1" thickBo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15" customHeight="1" x14ac:dyDescent="0.2">
      <c r="A2" s="2" t="s">
        <v>8</v>
      </c>
      <c r="B2" s="14">
        <v>2013</v>
      </c>
      <c r="C2" s="4">
        <v>163139</v>
      </c>
      <c r="D2" s="4">
        <v>62643</v>
      </c>
      <c r="E2" s="3">
        <v>103.1</v>
      </c>
      <c r="F2" s="3">
        <v>87.8</v>
      </c>
      <c r="G2" s="4">
        <v>63293</v>
      </c>
      <c r="H2" s="5">
        <v>99341</v>
      </c>
    </row>
    <row r="3" spans="1:8" ht="15" customHeight="1" x14ac:dyDescent="0.2">
      <c r="A3" s="6" t="s">
        <v>8</v>
      </c>
      <c r="B3" s="15">
        <v>2014</v>
      </c>
      <c r="C3" s="8">
        <v>182664</v>
      </c>
      <c r="D3" s="8">
        <v>72704</v>
      </c>
      <c r="E3" s="7">
        <v>103.3</v>
      </c>
      <c r="F3" s="7">
        <v>100</v>
      </c>
      <c r="G3" s="8">
        <v>52978</v>
      </c>
      <c r="H3" s="9">
        <v>101110</v>
      </c>
    </row>
    <row r="4" spans="1:8" ht="17" customHeight="1" x14ac:dyDescent="0.2">
      <c r="A4" s="6" t="s">
        <v>8</v>
      </c>
      <c r="B4" s="15">
        <v>2015</v>
      </c>
      <c r="C4" s="8">
        <v>192261</v>
      </c>
      <c r="D4" s="8">
        <v>81669</v>
      </c>
      <c r="E4" s="7">
        <v>101.3</v>
      </c>
      <c r="F4" s="7">
        <v>103.2</v>
      </c>
      <c r="G4" s="8">
        <v>54020</v>
      </c>
      <c r="H4" s="9">
        <v>94569</v>
      </c>
    </row>
    <row r="5" spans="1:8" ht="20" customHeight="1" x14ac:dyDescent="0.2">
      <c r="A5" s="6" t="s">
        <v>8</v>
      </c>
      <c r="B5" s="15">
        <v>2016</v>
      </c>
      <c r="C5" s="8">
        <v>198394</v>
      </c>
      <c r="D5" s="8">
        <v>87792</v>
      </c>
      <c r="E5" s="7">
        <v>98.9</v>
      </c>
      <c r="F5" s="7">
        <v>98.4</v>
      </c>
      <c r="G5" s="8">
        <v>71826</v>
      </c>
      <c r="H5" s="9">
        <v>96833</v>
      </c>
    </row>
    <row r="6" spans="1:8" ht="18" customHeight="1" x14ac:dyDescent="0.2">
      <c r="A6" s="6" t="s">
        <v>8</v>
      </c>
      <c r="B6" s="15">
        <v>2017</v>
      </c>
      <c r="C6" s="8">
        <v>230837</v>
      </c>
      <c r="D6" s="8">
        <v>106131</v>
      </c>
      <c r="E6" s="7">
        <v>107.2</v>
      </c>
      <c r="F6" s="7">
        <v>96.7</v>
      </c>
      <c r="G6" s="8">
        <v>87050</v>
      </c>
      <c r="H6" s="9">
        <v>91346</v>
      </c>
    </row>
    <row r="7" spans="1:8" ht="19" customHeight="1" x14ac:dyDescent="0.2">
      <c r="A7" s="6" t="s">
        <v>8</v>
      </c>
      <c r="B7" s="15">
        <v>2018</v>
      </c>
      <c r="C7" s="8">
        <v>237094</v>
      </c>
      <c r="D7" s="8">
        <v>89359</v>
      </c>
      <c r="E7" s="7">
        <v>106</v>
      </c>
      <c r="F7" s="7">
        <v>108.3</v>
      </c>
      <c r="G7" s="8">
        <v>91321</v>
      </c>
      <c r="H7" s="9">
        <v>94647</v>
      </c>
    </row>
    <row r="8" spans="1:8" ht="18" customHeight="1" x14ac:dyDescent="0.2">
      <c r="A8" s="6" t="s">
        <v>8</v>
      </c>
      <c r="B8" s="15">
        <v>2019</v>
      </c>
      <c r="C8" s="8">
        <v>243098</v>
      </c>
      <c r="D8" s="8">
        <v>106199</v>
      </c>
      <c r="E8" s="7">
        <v>101.3</v>
      </c>
      <c r="F8" s="7">
        <v>105.8</v>
      </c>
      <c r="G8" s="8">
        <v>95031</v>
      </c>
      <c r="H8" s="9">
        <v>103308</v>
      </c>
    </row>
    <row r="9" spans="1:8" ht="19" customHeight="1" x14ac:dyDescent="0.2">
      <c r="A9" s="6" t="s">
        <v>8</v>
      </c>
      <c r="B9" s="15">
        <v>2020</v>
      </c>
      <c r="C9" s="8">
        <v>263853</v>
      </c>
      <c r="D9" s="8">
        <v>110381</v>
      </c>
      <c r="E9" s="7">
        <v>103.3</v>
      </c>
      <c r="F9" s="7">
        <v>106.5</v>
      </c>
      <c r="G9" s="8">
        <v>100551</v>
      </c>
      <c r="H9" s="9">
        <v>119986</v>
      </c>
    </row>
    <row r="10" spans="1:8" ht="17" customHeight="1" x14ac:dyDescent="0.2">
      <c r="A10" s="6" t="s">
        <v>8</v>
      </c>
      <c r="B10" s="15">
        <v>2021</v>
      </c>
      <c r="C10" s="8">
        <v>344889</v>
      </c>
      <c r="D10" s="8">
        <v>192377</v>
      </c>
      <c r="E10" s="7">
        <v>110.7</v>
      </c>
      <c r="F10" s="7">
        <v>114.1</v>
      </c>
      <c r="G10" s="8">
        <v>110988</v>
      </c>
      <c r="H10" s="9">
        <v>99392</v>
      </c>
    </row>
    <row r="11" spans="1:8" ht="19" customHeight="1" x14ac:dyDescent="0.2">
      <c r="A11" s="6" t="s">
        <v>8</v>
      </c>
      <c r="B11" s="15">
        <v>2022</v>
      </c>
      <c r="C11" s="8">
        <v>308017</v>
      </c>
      <c r="D11" s="8">
        <v>137104</v>
      </c>
      <c r="E11" s="7">
        <v>102.4</v>
      </c>
      <c r="F11" s="7">
        <v>99.8</v>
      </c>
      <c r="G11" s="8">
        <v>110396</v>
      </c>
      <c r="H11" s="9">
        <v>115192</v>
      </c>
    </row>
    <row r="12" spans="1:8" ht="17" customHeight="1" x14ac:dyDescent="0.2">
      <c r="A12" s="6" t="s">
        <v>8</v>
      </c>
      <c r="B12" s="15">
        <v>2023</v>
      </c>
      <c r="C12" s="8">
        <v>336226</v>
      </c>
      <c r="D12" s="8">
        <v>137874</v>
      </c>
      <c r="E12" s="7">
        <v>99.9</v>
      </c>
      <c r="F12" s="7">
        <v>94.7</v>
      </c>
      <c r="G12" s="8">
        <v>91037</v>
      </c>
      <c r="H12" s="9">
        <v>99813</v>
      </c>
    </row>
    <row r="13" spans="1:8" ht="18" customHeight="1" x14ac:dyDescent="0.2">
      <c r="A13" s="6" t="s">
        <v>8</v>
      </c>
      <c r="B13" s="15">
        <v>2024</v>
      </c>
      <c r="C13" s="8">
        <v>347671</v>
      </c>
      <c r="D13" s="8">
        <v>158034</v>
      </c>
      <c r="E13" s="7">
        <v>103.2</v>
      </c>
      <c r="F13" s="7">
        <v>92.9</v>
      </c>
      <c r="G13" s="8">
        <v>127609</v>
      </c>
      <c r="H13" s="9">
        <v>95203</v>
      </c>
    </row>
    <row r="14" spans="1:8" x14ac:dyDescent="0.2">
      <c r="A14" s="6" t="s">
        <v>9</v>
      </c>
      <c r="B14" s="15">
        <v>2013</v>
      </c>
      <c r="C14" s="8">
        <v>185894</v>
      </c>
      <c r="D14" s="8">
        <v>119974</v>
      </c>
      <c r="E14" s="7">
        <v>101.8</v>
      </c>
      <c r="F14" s="7">
        <v>110.4</v>
      </c>
      <c r="G14" s="8">
        <v>64531</v>
      </c>
      <c r="H14" s="9">
        <v>69254</v>
      </c>
    </row>
    <row r="15" spans="1:8" x14ac:dyDescent="0.2">
      <c r="A15" s="6" t="s">
        <v>9</v>
      </c>
      <c r="B15" s="15">
        <v>2014</v>
      </c>
      <c r="C15" s="8">
        <v>200502</v>
      </c>
      <c r="D15" s="8">
        <v>113680</v>
      </c>
      <c r="E15" s="7">
        <v>102.8</v>
      </c>
      <c r="F15" s="7">
        <v>113.5</v>
      </c>
      <c r="G15" s="8">
        <v>58025</v>
      </c>
      <c r="H15" s="9">
        <v>71125</v>
      </c>
    </row>
    <row r="16" spans="1:8" x14ac:dyDescent="0.2">
      <c r="A16" s="6" t="s">
        <v>9</v>
      </c>
      <c r="B16" s="15">
        <v>2015</v>
      </c>
      <c r="C16" s="8">
        <v>203717</v>
      </c>
      <c r="D16" s="8">
        <v>108532</v>
      </c>
      <c r="E16" s="7">
        <v>99.1</v>
      </c>
      <c r="F16" s="7">
        <v>97</v>
      </c>
      <c r="G16" s="8">
        <v>68453</v>
      </c>
      <c r="H16" s="9">
        <v>67522</v>
      </c>
    </row>
    <row r="17" spans="1:8" x14ac:dyDescent="0.2">
      <c r="A17" s="6" t="s">
        <v>9</v>
      </c>
      <c r="B17" s="15">
        <v>2016</v>
      </c>
      <c r="C17" s="8">
        <v>232325</v>
      </c>
      <c r="D17" s="8">
        <v>121353</v>
      </c>
      <c r="E17" s="7">
        <v>98.2</v>
      </c>
      <c r="F17" s="7">
        <v>88.5</v>
      </c>
      <c r="G17" s="8">
        <v>62429</v>
      </c>
      <c r="H17" s="9">
        <v>73118</v>
      </c>
    </row>
    <row r="18" spans="1:8" x14ac:dyDescent="0.2">
      <c r="A18" s="6" t="s">
        <v>9</v>
      </c>
      <c r="B18" s="15">
        <v>2017</v>
      </c>
      <c r="C18" s="8">
        <v>226590</v>
      </c>
      <c r="D18" s="8">
        <v>114942</v>
      </c>
      <c r="E18" s="7">
        <v>104</v>
      </c>
      <c r="F18" s="7">
        <v>94</v>
      </c>
      <c r="G18" s="8">
        <v>70328</v>
      </c>
      <c r="H18" s="9">
        <v>63967</v>
      </c>
    </row>
    <row r="19" spans="1:8" x14ac:dyDescent="0.2">
      <c r="A19" s="6" t="s">
        <v>9</v>
      </c>
      <c r="B19" s="15">
        <v>2018</v>
      </c>
      <c r="C19" s="8">
        <v>265320</v>
      </c>
      <c r="D19" s="8">
        <v>150227</v>
      </c>
      <c r="E19" s="7">
        <v>102.4</v>
      </c>
      <c r="F19" s="7">
        <v>112.5</v>
      </c>
      <c r="G19" s="8">
        <v>93121</v>
      </c>
      <c r="H19" s="9">
        <v>74011</v>
      </c>
    </row>
    <row r="20" spans="1:8" x14ac:dyDescent="0.2">
      <c r="A20" s="6" t="s">
        <v>9</v>
      </c>
      <c r="B20" s="15">
        <v>2019</v>
      </c>
      <c r="C20" s="8">
        <v>271705</v>
      </c>
      <c r="D20" s="8">
        <v>152834</v>
      </c>
      <c r="E20" s="7">
        <v>106.3</v>
      </c>
      <c r="F20" s="7">
        <v>96</v>
      </c>
      <c r="G20" s="8">
        <v>67880</v>
      </c>
      <c r="H20" s="9">
        <v>75645</v>
      </c>
    </row>
    <row r="21" spans="1:8" x14ac:dyDescent="0.2">
      <c r="A21" s="6" t="s">
        <v>9</v>
      </c>
      <c r="B21" s="15">
        <v>2020</v>
      </c>
      <c r="C21" s="8">
        <v>300139</v>
      </c>
      <c r="D21" s="8">
        <v>154299</v>
      </c>
      <c r="E21" s="7">
        <v>104.6</v>
      </c>
      <c r="F21" s="7">
        <v>93.7</v>
      </c>
      <c r="G21" s="8">
        <v>120034</v>
      </c>
      <c r="H21" s="9">
        <v>81074</v>
      </c>
    </row>
    <row r="22" spans="1:8" x14ac:dyDescent="0.2">
      <c r="A22" s="6" t="s">
        <v>9</v>
      </c>
      <c r="B22" s="15">
        <v>2021</v>
      </c>
      <c r="C22" s="8">
        <v>345916</v>
      </c>
      <c r="D22" s="8">
        <v>196541</v>
      </c>
      <c r="E22" s="7">
        <v>102.1</v>
      </c>
      <c r="F22" s="7">
        <v>96.9</v>
      </c>
      <c r="G22" s="8">
        <v>136077</v>
      </c>
      <c r="H22" s="9">
        <v>80687</v>
      </c>
    </row>
    <row r="23" spans="1:8" x14ac:dyDescent="0.2">
      <c r="A23" s="6" t="s">
        <v>9</v>
      </c>
      <c r="B23" s="15">
        <v>2022</v>
      </c>
      <c r="C23" s="8">
        <v>330615</v>
      </c>
      <c r="D23" s="8">
        <v>187838</v>
      </c>
      <c r="E23" s="7">
        <v>107.5</v>
      </c>
      <c r="F23" s="7">
        <v>99.9</v>
      </c>
      <c r="G23" s="8">
        <v>105521</v>
      </c>
      <c r="H23" s="9">
        <v>67253</v>
      </c>
    </row>
    <row r="24" spans="1:8" x14ac:dyDescent="0.2">
      <c r="A24" s="6" t="s">
        <v>9</v>
      </c>
      <c r="B24" s="15">
        <v>2023</v>
      </c>
      <c r="C24" s="8">
        <v>400393</v>
      </c>
      <c r="D24" s="8">
        <v>221856</v>
      </c>
      <c r="E24" s="7">
        <v>99.5</v>
      </c>
      <c r="F24" s="7">
        <v>98.6</v>
      </c>
      <c r="G24" s="8">
        <v>190033</v>
      </c>
      <c r="H24" s="9">
        <v>83188</v>
      </c>
    </row>
    <row r="25" spans="1:8" x14ac:dyDescent="0.2">
      <c r="A25" s="6" t="s">
        <v>9</v>
      </c>
      <c r="B25" s="15">
        <v>2024</v>
      </c>
      <c r="C25" s="8">
        <v>372222</v>
      </c>
      <c r="D25" s="8">
        <v>186830</v>
      </c>
      <c r="E25" s="7">
        <v>96.9</v>
      </c>
      <c r="F25" s="7">
        <v>113.4</v>
      </c>
      <c r="G25" s="8">
        <v>117333</v>
      </c>
      <c r="H25" s="9">
        <v>79746</v>
      </c>
    </row>
    <row r="26" spans="1:8" x14ac:dyDescent="0.2">
      <c r="A26" s="6" t="s">
        <v>10</v>
      </c>
      <c r="B26" s="15">
        <v>2013</v>
      </c>
      <c r="C26" s="8">
        <v>123659</v>
      </c>
      <c r="D26" s="8">
        <v>52098</v>
      </c>
      <c r="E26" s="7">
        <v>106.5</v>
      </c>
      <c r="F26" s="7">
        <v>113.6</v>
      </c>
      <c r="G26" s="8">
        <v>16384</v>
      </c>
      <c r="H26" s="9">
        <v>24948</v>
      </c>
    </row>
    <row r="27" spans="1:8" x14ac:dyDescent="0.2">
      <c r="A27" s="6" t="s">
        <v>10</v>
      </c>
      <c r="B27" s="15">
        <v>2014</v>
      </c>
      <c r="C27" s="8">
        <v>113761</v>
      </c>
      <c r="D27" s="8">
        <v>55375</v>
      </c>
      <c r="E27" s="7">
        <v>101.9</v>
      </c>
      <c r="F27" s="7">
        <v>101.2</v>
      </c>
      <c r="G27" s="8">
        <v>14200</v>
      </c>
      <c r="H27" s="9">
        <v>26850</v>
      </c>
    </row>
    <row r="28" spans="1:8" x14ac:dyDescent="0.2">
      <c r="A28" s="6" t="s">
        <v>10</v>
      </c>
      <c r="B28" s="15">
        <v>2015</v>
      </c>
      <c r="C28" s="8">
        <v>154926</v>
      </c>
      <c r="D28" s="8">
        <v>65737</v>
      </c>
      <c r="E28" s="7">
        <v>95.6</v>
      </c>
      <c r="F28" s="7">
        <v>105.7</v>
      </c>
      <c r="G28" s="8">
        <v>19886</v>
      </c>
      <c r="H28" s="9">
        <v>26738</v>
      </c>
    </row>
    <row r="29" spans="1:8" x14ac:dyDescent="0.2">
      <c r="A29" s="6" t="s">
        <v>10</v>
      </c>
      <c r="B29" s="15">
        <v>2016</v>
      </c>
      <c r="C29" s="8">
        <v>161262</v>
      </c>
      <c r="D29" s="8">
        <v>86686</v>
      </c>
      <c r="E29" s="7">
        <v>100.1</v>
      </c>
      <c r="F29" s="7">
        <v>122</v>
      </c>
      <c r="G29" s="8">
        <v>16536</v>
      </c>
      <c r="H29" s="9">
        <v>27370</v>
      </c>
    </row>
    <row r="30" spans="1:8" x14ac:dyDescent="0.2">
      <c r="A30" s="6" t="s">
        <v>10</v>
      </c>
      <c r="B30" s="15">
        <v>2017</v>
      </c>
      <c r="C30" s="8">
        <v>174894</v>
      </c>
      <c r="D30" s="8">
        <v>72903</v>
      </c>
      <c r="E30" s="7">
        <v>106.1</v>
      </c>
      <c r="F30" s="7">
        <v>104.7</v>
      </c>
      <c r="G30" s="8">
        <v>22776</v>
      </c>
      <c r="H30" s="9">
        <v>24990</v>
      </c>
    </row>
    <row r="31" spans="1:8" x14ac:dyDescent="0.2">
      <c r="A31" s="6" t="s">
        <v>10</v>
      </c>
      <c r="B31" s="15">
        <v>2018</v>
      </c>
      <c r="C31" s="8">
        <v>183623</v>
      </c>
      <c r="D31" s="8">
        <v>79308</v>
      </c>
      <c r="E31" s="7">
        <v>97.9</v>
      </c>
      <c r="F31" s="7">
        <v>112.7</v>
      </c>
      <c r="G31" s="8">
        <v>21066</v>
      </c>
      <c r="H31" s="9">
        <v>26581</v>
      </c>
    </row>
    <row r="32" spans="1:8" x14ac:dyDescent="0.2">
      <c r="A32" s="6" t="s">
        <v>10</v>
      </c>
      <c r="B32" s="15">
        <v>2019</v>
      </c>
      <c r="C32" s="8">
        <v>213288</v>
      </c>
      <c r="D32" s="8">
        <v>113814</v>
      </c>
      <c r="E32" s="7">
        <v>104.1</v>
      </c>
      <c r="F32" s="7">
        <v>110</v>
      </c>
      <c r="G32" s="8">
        <v>21783</v>
      </c>
      <c r="H32" s="9">
        <v>28251</v>
      </c>
    </row>
    <row r="33" spans="1:8" x14ac:dyDescent="0.2">
      <c r="A33" s="6" t="s">
        <v>10</v>
      </c>
      <c r="B33" s="15">
        <v>2020</v>
      </c>
      <c r="C33" s="8">
        <v>206164</v>
      </c>
      <c r="D33" s="8">
        <v>117073</v>
      </c>
      <c r="E33" s="7">
        <v>99</v>
      </c>
      <c r="F33" s="7">
        <v>73.900000000000006</v>
      </c>
      <c r="G33" s="8">
        <v>29029</v>
      </c>
      <c r="H33" s="9">
        <v>27319</v>
      </c>
    </row>
    <row r="34" spans="1:8" x14ac:dyDescent="0.2">
      <c r="A34" s="6" t="s">
        <v>10</v>
      </c>
      <c r="B34" s="15">
        <v>2021</v>
      </c>
      <c r="C34" s="8">
        <v>233620</v>
      </c>
      <c r="D34" s="8">
        <v>127428</v>
      </c>
      <c r="E34" s="7">
        <v>103.2</v>
      </c>
      <c r="F34" s="7">
        <v>103.5</v>
      </c>
      <c r="G34" s="8">
        <v>22722</v>
      </c>
      <c r="H34" s="9">
        <v>24739</v>
      </c>
    </row>
    <row r="35" spans="1:8" x14ac:dyDescent="0.2">
      <c r="A35" s="6" t="s">
        <v>10</v>
      </c>
      <c r="B35" s="15">
        <v>2022</v>
      </c>
      <c r="C35" s="8">
        <v>245279</v>
      </c>
      <c r="D35" s="8">
        <v>125317</v>
      </c>
      <c r="E35" s="7">
        <v>102.9</v>
      </c>
      <c r="F35" s="7">
        <v>103.2</v>
      </c>
      <c r="G35" s="8">
        <v>33385</v>
      </c>
      <c r="H35" s="9">
        <v>27770</v>
      </c>
    </row>
    <row r="36" spans="1:8" x14ac:dyDescent="0.2">
      <c r="A36" s="6" t="s">
        <v>10</v>
      </c>
      <c r="B36" s="15">
        <v>2023</v>
      </c>
      <c r="C36" s="8">
        <v>269762</v>
      </c>
      <c r="D36" s="8">
        <v>139440</v>
      </c>
      <c r="E36" s="7">
        <v>104.9</v>
      </c>
      <c r="F36" s="7">
        <v>98.1</v>
      </c>
      <c r="G36" s="8">
        <v>38462</v>
      </c>
      <c r="H36" s="9">
        <v>29276</v>
      </c>
    </row>
    <row r="37" spans="1:8" x14ac:dyDescent="0.2">
      <c r="A37" s="6" t="s">
        <v>10</v>
      </c>
      <c r="B37" s="15">
        <v>2024</v>
      </c>
      <c r="C37" s="8">
        <v>278556</v>
      </c>
      <c r="D37" s="8">
        <v>136570</v>
      </c>
      <c r="E37" s="7">
        <v>103.5</v>
      </c>
      <c r="F37" s="7">
        <v>108.5</v>
      </c>
      <c r="G37" s="8">
        <v>30983</v>
      </c>
      <c r="H37" s="9">
        <v>28423</v>
      </c>
    </row>
    <row r="38" spans="1:8" x14ac:dyDescent="0.2">
      <c r="A38" s="6" t="s">
        <v>11</v>
      </c>
      <c r="B38" s="15">
        <v>2013</v>
      </c>
      <c r="C38" s="8">
        <v>142355</v>
      </c>
      <c r="D38" s="8">
        <v>63811</v>
      </c>
      <c r="E38" s="7">
        <v>100.9</v>
      </c>
      <c r="F38" s="7">
        <v>90.4</v>
      </c>
      <c r="G38" s="8">
        <v>23574</v>
      </c>
      <c r="H38" s="9">
        <v>80817</v>
      </c>
    </row>
    <row r="39" spans="1:8" x14ac:dyDescent="0.2">
      <c r="A39" s="6" t="s">
        <v>11</v>
      </c>
      <c r="B39" s="15">
        <v>2014</v>
      </c>
      <c r="C39" s="8">
        <v>154696</v>
      </c>
      <c r="D39" s="8">
        <v>70223</v>
      </c>
      <c r="E39" s="7">
        <v>101.1</v>
      </c>
      <c r="F39" s="7">
        <v>104.8</v>
      </c>
      <c r="G39" s="8">
        <v>29613</v>
      </c>
      <c r="H39" s="9">
        <v>86549</v>
      </c>
    </row>
    <row r="40" spans="1:8" x14ac:dyDescent="0.2">
      <c r="A40" s="6" t="s">
        <v>11</v>
      </c>
      <c r="B40" s="15">
        <v>2015</v>
      </c>
      <c r="C40" s="8">
        <v>186505</v>
      </c>
      <c r="D40" s="8">
        <v>70333</v>
      </c>
      <c r="E40" s="7">
        <v>101</v>
      </c>
      <c r="F40" s="7">
        <v>100.4</v>
      </c>
      <c r="G40" s="8">
        <v>42927</v>
      </c>
      <c r="H40" s="9">
        <v>102608</v>
      </c>
    </row>
    <row r="41" spans="1:8" x14ac:dyDescent="0.2">
      <c r="A41" s="6" t="s">
        <v>11</v>
      </c>
      <c r="B41" s="15">
        <v>2016</v>
      </c>
      <c r="C41" s="8">
        <v>223835</v>
      </c>
      <c r="D41" s="8">
        <v>119621</v>
      </c>
      <c r="E41" s="7">
        <v>99.3</v>
      </c>
      <c r="F41" s="7">
        <v>107</v>
      </c>
      <c r="G41" s="8">
        <v>40576</v>
      </c>
      <c r="H41" s="9">
        <v>96401</v>
      </c>
    </row>
    <row r="42" spans="1:8" x14ac:dyDescent="0.2">
      <c r="A42" s="6" t="s">
        <v>11</v>
      </c>
      <c r="B42" s="15">
        <v>2017</v>
      </c>
      <c r="C42" s="8">
        <v>234479</v>
      </c>
      <c r="D42" s="8">
        <v>138396</v>
      </c>
      <c r="E42" s="7">
        <v>105</v>
      </c>
      <c r="F42" s="7">
        <v>106.9</v>
      </c>
      <c r="G42" s="8">
        <v>32570</v>
      </c>
      <c r="H42" s="9">
        <v>87206</v>
      </c>
    </row>
    <row r="43" spans="1:8" x14ac:dyDescent="0.2">
      <c r="A43" s="6" t="s">
        <v>11</v>
      </c>
      <c r="B43" s="15">
        <v>2018</v>
      </c>
      <c r="C43" s="8">
        <v>217047</v>
      </c>
      <c r="D43" s="8">
        <v>104147</v>
      </c>
      <c r="E43" s="7">
        <v>99</v>
      </c>
      <c r="F43" s="7">
        <v>101.1</v>
      </c>
      <c r="G43" s="8">
        <v>44798</v>
      </c>
      <c r="H43" s="9">
        <v>101859</v>
      </c>
    </row>
    <row r="44" spans="1:8" x14ac:dyDescent="0.2">
      <c r="A44" s="6" t="s">
        <v>11</v>
      </c>
      <c r="B44" s="15">
        <v>2019</v>
      </c>
      <c r="C44" s="8">
        <v>256363</v>
      </c>
      <c r="D44" s="8">
        <v>109978</v>
      </c>
      <c r="E44" s="7">
        <v>102.5</v>
      </c>
      <c r="F44" s="7">
        <v>103.3</v>
      </c>
      <c r="G44" s="8">
        <v>38093</v>
      </c>
      <c r="H44" s="9">
        <v>102275</v>
      </c>
    </row>
    <row r="45" spans="1:8" x14ac:dyDescent="0.2">
      <c r="A45" s="6" t="s">
        <v>11</v>
      </c>
      <c r="B45" s="15">
        <v>2020</v>
      </c>
      <c r="C45" s="8">
        <v>256302</v>
      </c>
      <c r="D45" s="8">
        <v>138871</v>
      </c>
      <c r="E45" s="7">
        <v>95.7</v>
      </c>
      <c r="F45" s="7">
        <v>102.7</v>
      </c>
      <c r="G45" s="8">
        <v>37533</v>
      </c>
      <c r="H45" s="9">
        <v>85835</v>
      </c>
    </row>
    <row r="46" spans="1:8" x14ac:dyDescent="0.2">
      <c r="A46" s="6" t="s">
        <v>11</v>
      </c>
      <c r="B46" s="15">
        <v>2021</v>
      </c>
      <c r="C46" s="8">
        <v>271987</v>
      </c>
      <c r="D46" s="8">
        <v>135912</v>
      </c>
      <c r="E46" s="7">
        <v>100.7</v>
      </c>
      <c r="F46" s="7">
        <v>86.3</v>
      </c>
      <c r="G46" s="8">
        <v>44092</v>
      </c>
      <c r="H46" s="9">
        <v>99766</v>
      </c>
    </row>
    <row r="47" spans="1:8" x14ac:dyDescent="0.2">
      <c r="A47" s="6" t="s">
        <v>11</v>
      </c>
      <c r="B47" s="15">
        <v>2022</v>
      </c>
      <c r="C47" s="8">
        <v>302538</v>
      </c>
      <c r="D47" s="8">
        <v>160657</v>
      </c>
      <c r="E47" s="7">
        <v>106.5</v>
      </c>
      <c r="F47" s="7">
        <v>99.5</v>
      </c>
      <c r="G47" s="8">
        <v>63175</v>
      </c>
      <c r="H47" s="9">
        <v>98763</v>
      </c>
    </row>
    <row r="48" spans="1:8" x14ac:dyDescent="0.2">
      <c r="A48" s="6" t="s">
        <v>11</v>
      </c>
      <c r="B48" s="15">
        <v>2023</v>
      </c>
      <c r="C48" s="8">
        <v>322686</v>
      </c>
      <c r="D48" s="8">
        <v>152937</v>
      </c>
      <c r="E48" s="7">
        <v>105</v>
      </c>
      <c r="F48" s="7">
        <v>94.3</v>
      </c>
      <c r="G48" s="8">
        <v>76327</v>
      </c>
      <c r="H48" s="9">
        <v>111782</v>
      </c>
    </row>
    <row r="49" spans="1:8" x14ac:dyDescent="0.2">
      <c r="A49" s="6" t="s">
        <v>11</v>
      </c>
      <c r="B49" s="15">
        <v>2024</v>
      </c>
      <c r="C49" s="8">
        <v>343335</v>
      </c>
      <c r="D49" s="8">
        <v>177961</v>
      </c>
      <c r="E49" s="7">
        <v>98.8</v>
      </c>
      <c r="F49" s="7">
        <v>119.7</v>
      </c>
      <c r="G49" s="8">
        <v>80694</v>
      </c>
      <c r="H49" s="9">
        <v>103116</v>
      </c>
    </row>
    <row r="50" spans="1:8" x14ac:dyDescent="0.2">
      <c r="A50" s="6" t="s">
        <v>12</v>
      </c>
      <c r="B50" s="15">
        <v>2013</v>
      </c>
      <c r="C50" s="8">
        <v>144914</v>
      </c>
      <c r="D50" s="8">
        <v>63378</v>
      </c>
      <c r="E50" s="7">
        <v>100.8</v>
      </c>
      <c r="F50" s="7">
        <v>104.1</v>
      </c>
      <c r="G50" s="8">
        <v>33427</v>
      </c>
      <c r="H50" s="9">
        <v>46594</v>
      </c>
    </row>
    <row r="51" spans="1:8" x14ac:dyDescent="0.2">
      <c r="A51" s="6" t="s">
        <v>12</v>
      </c>
      <c r="B51" s="15">
        <v>2014</v>
      </c>
      <c r="C51" s="8">
        <v>171308</v>
      </c>
      <c r="D51" s="8">
        <v>73180</v>
      </c>
      <c r="E51" s="7">
        <v>102.2</v>
      </c>
      <c r="F51" s="7">
        <v>104</v>
      </c>
      <c r="G51" s="8">
        <v>67522</v>
      </c>
      <c r="H51" s="9">
        <v>48177</v>
      </c>
    </row>
    <row r="52" spans="1:8" x14ac:dyDescent="0.2">
      <c r="A52" s="6" t="s">
        <v>12</v>
      </c>
      <c r="B52" s="15">
        <v>2015</v>
      </c>
      <c r="C52" s="8">
        <v>184799</v>
      </c>
      <c r="D52" s="8">
        <v>70482</v>
      </c>
      <c r="E52" s="7">
        <v>98.8</v>
      </c>
      <c r="F52" s="7">
        <v>110.1</v>
      </c>
      <c r="G52" s="8">
        <v>58949</v>
      </c>
      <c r="H52" s="9">
        <v>46288</v>
      </c>
    </row>
    <row r="53" spans="1:8" x14ac:dyDescent="0.2">
      <c r="A53" s="6" t="s">
        <v>12</v>
      </c>
      <c r="B53" s="15">
        <v>2016</v>
      </c>
      <c r="C53" s="8">
        <v>185538</v>
      </c>
      <c r="D53" s="8">
        <v>74813</v>
      </c>
      <c r="E53" s="7">
        <v>97.9</v>
      </c>
      <c r="F53" s="7">
        <v>97.1</v>
      </c>
      <c r="G53" s="8">
        <v>41794</v>
      </c>
      <c r="H53" s="9">
        <v>45733</v>
      </c>
    </row>
    <row r="54" spans="1:8" x14ac:dyDescent="0.2">
      <c r="A54" s="6" t="s">
        <v>12</v>
      </c>
      <c r="B54" s="15">
        <v>2017</v>
      </c>
      <c r="C54" s="8">
        <v>195620</v>
      </c>
      <c r="D54" s="8">
        <v>72402</v>
      </c>
      <c r="E54" s="7">
        <v>102.3</v>
      </c>
      <c r="F54" s="7">
        <v>103.5</v>
      </c>
      <c r="G54" s="8">
        <v>47759</v>
      </c>
      <c r="H54" s="9">
        <v>44252</v>
      </c>
    </row>
    <row r="55" spans="1:8" x14ac:dyDescent="0.2">
      <c r="A55" s="6" t="s">
        <v>12</v>
      </c>
      <c r="B55" s="15">
        <v>2018</v>
      </c>
      <c r="C55" s="8">
        <v>217669</v>
      </c>
      <c r="D55" s="8">
        <v>101090</v>
      </c>
      <c r="E55" s="7">
        <v>100.9</v>
      </c>
      <c r="F55" s="7">
        <v>96.4</v>
      </c>
      <c r="G55" s="8">
        <v>56965</v>
      </c>
      <c r="H55" s="9">
        <v>48678</v>
      </c>
    </row>
    <row r="56" spans="1:8" x14ac:dyDescent="0.2">
      <c r="A56" s="6" t="s">
        <v>12</v>
      </c>
      <c r="B56" s="15">
        <v>2019</v>
      </c>
      <c r="C56" s="8">
        <v>246482</v>
      </c>
      <c r="D56" s="8">
        <v>92636</v>
      </c>
      <c r="E56" s="7">
        <v>101.9</v>
      </c>
      <c r="F56" s="7">
        <v>93.9</v>
      </c>
      <c r="G56" s="8">
        <v>61449</v>
      </c>
      <c r="H56" s="9">
        <v>46385</v>
      </c>
    </row>
    <row r="57" spans="1:8" x14ac:dyDescent="0.2">
      <c r="A57" s="6" t="s">
        <v>12</v>
      </c>
      <c r="B57" s="15">
        <v>2020</v>
      </c>
      <c r="C57" s="8">
        <v>240849</v>
      </c>
      <c r="D57" s="8">
        <v>97965</v>
      </c>
      <c r="E57" s="7">
        <v>100.7</v>
      </c>
      <c r="F57" s="7">
        <v>104.8</v>
      </c>
      <c r="G57" s="8">
        <v>57358</v>
      </c>
      <c r="H57" s="9">
        <v>44696</v>
      </c>
    </row>
    <row r="58" spans="1:8" x14ac:dyDescent="0.2">
      <c r="A58" s="6" t="s">
        <v>12</v>
      </c>
      <c r="B58" s="15">
        <v>2021</v>
      </c>
      <c r="C58" s="8">
        <v>278480</v>
      </c>
      <c r="D58" s="8">
        <v>125383</v>
      </c>
      <c r="E58" s="7">
        <v>101</v>
      </c>
      <c r="F58" s="7">
        <v>97.1</v>
      </c>
      <c r="G58" s="8">
        <v>46793</v>
      </c>
      <c r="H58" s="9">
        <v>47969</v>
      </c>
    </row>
    <row r="59" spans="1:8" x14ac:dyDescent="0.2">
      <c r="A59" s="6" t="s">
        <v>12</v>
      </c>
      <c r="B59" s="15">
        <v>2022</v>
      </c>
      <c r="C59" s="8">
        <v>300929</v>
      </c>
      <c r="D59" s="8">
        <v>131954</v>
      </c>
      <c r="E59" s="7">
        <v>103.6</v>
      </c>
      <c r="F59" s="7">
        <v>99.5</v>
      </c>
      <c r="G59" s="8">
        <v>77867</v>
      </c>
      <c r="H59" s="9">
        <v>52851</v>
      </c>
    </row>
    <row r="60" spans="1:8" x14ac:dyDescent="0.2">
      <c r="A60" s="6" t="s">
        <v>12</v>
      </c>
      <c r="B60" s="15">
        <v>2023</v>
      </c>
      <c r="C60" s="8">
        <v>315360</v>
      </c>
      <c r="D60" s="8">
        <v>97451</v>
      </c>
      <c r="E60" s="7">
        <v>105.2</v>
      </c>
      <c r="F60" s="7">
        <v>93.9</v>
      </c>
      <c r="G60" s="8">
        <v>109178</v>
      </c>
      <c r="H60" s="9">
        <v>56746</v>
      </c>
    </row>
    <row r="61" spans="1:8" x14ac:dyDescent="0.2">
      <c r="A61" s="6" t="s">
        <v>12</v>
      </c>
      <c r="B61" s="15">
        <v>2024</v>
      </c>
      <c r="C61" s="8">
        <v>351614</v>
      </c>
      <c r="D61" s="8">
        <v>165659</v>
      </c>
      <c r="E61" s="7">
        <v>107.3</v>
      </c>
      <c r="F61" s="7">
        <v>93.7</v>
      </c>
      <c r="G61" s="8">
        <v>99001</v>
      </c>
      <c r="H61" s="9">
        <v>51800</v>
      </c>
    </row>
    <row r="62" spans="1:8" x14ac:dyDescent="0.2">
      <c r="A62" s="6" t="s">
        <v>13</v>
      </c>
      <c r="B62" s="15">
        <v>2013</v>
      </c>
      <c r="C62" s="8">
        <v>152011</v>
      </c>
      <c r="D62" s="8">
        <v>83495</v>
      </c>
      <c r="E62" s="7">
        <v>101</v>
      </c>
      <c r="F62" s="7">
        <v>96.5</v>
      </c>
      <c r="G62" s="8">
        <v>40446</v>
      </c>
      <c r="H62" s="9">
        <v>42994</v>
      </c>
    </row>
    <row r="63" spans="1:8" x14ac:dyDescent="0.2">
      <c r="A63" s="6" t="s">
        <v>13</v>
      </c>
      <c r="B63" s="15">
        <v>2014</v>
      </c>
      <c r="C63" s="8">
        <v>151229</v>
      </c>
      <c r="D63" s="8">
        <v>62852</v>
      </c>
      <c r="E63" s="7">
        <v>103.8</v>
      </c>
      <c r="F63" s="7">
        <v>91.3</v>
      </c>
      <c r="G63" s="8">
        <v>37155</v>
      </c>
      <c r="H63" s="9">
        <v>38173</v>
      </c>
    </row>
    <row r="64" spans="1:8" x14ac:dyDescent="0.2">
      <c r="A64" s="6" t="s">
        <v>13</v>
      </c>
      <c r="B64" s="15">
        <v>2015</v>
      </c>
      <c r="C64" s="8">
        <v>180179</v>
      </c>
      <c r="D64" s="8">
        <v>72703</v>
      </c>
      <c r="E64" s="7">
        <v>106.3</v>
      </c>
      <c r="F64" s="7">
        <v>108.8</v>
      </c>
      <c r="G64" s="8">
        <v>45781</v>
      </c>
      <c r="H64" s="9">
        <v>40321</v>
      </c>
    </row>
    <row r="65" spans="1:8" x14ac:dyDescent="0.2">
      <c r="A65" s="6" t="s">
        <v>13</v>
      </c>
      <c r="B65" s="15">
        <v>2016</v>
      </c>
      <c r="C65" s="8">
        <v>185509</v>
      </c>
      <c r="D65" s="8">
        <v>85443</v>
      </c>
      <c r="E65" s="7">
        <v>104.8</v>
      </c>
      <c r="F65" s="7">
        <v>112.4</v>
      </c>
      <c r="G65" s="8">
        <v>42122</v>
      </c>
      <c r="H65" s="9">
        <v>35394</v>
      </c>
    </row>
    <row r="66" spans="1:8" x14ac:dyDescent="0.2">
      <c r="A66" s="6" t="s">
        <v>13</v>
      </c>
      <c r="B66" s="15">
        <v>2017</v>
      </c>
      <c r="C66" s="8">
        <v>204249</v>
      </c>
      <c r="D66" s="8">
        <v>88286</v>
      </c>
      <c r="E66" s="7">
        <v>103.2</v>
      </c>
      <c r="F66" s="7">
        <v>97.5</v>
      </c>
      <c r="G66" s="8">
        <v>51740</v>
      </c>
      <c r="H66" s="9">
        <v>43592</v>
      </c>
    </row>
    <row r="67" spans="1:8" x14ac:dyDescent="0.2">
      <c r="A67" s="6" t="s">
        <v>13</v>
      </c>
      <c r="B67" s="15">
        <v>2018</v>
      </c>
      <c r="C67" s="8">
        <v>226004</v>
      </c>
      <c r="D67" s="8">
        <v>114134</v>
      </c>
      <c r="E67" s="7">
        <v>96.9</v>
      </c>
      <c r="F67" s="7">
        <v>89.6</v>
      </c>
      <c r="G67" s="8">
        <v>73622</v>
      </c>
      <c r="H67" s="9">
        <v>44244</v>
      </c>
    </row>
    <row r="68" spans="1:8" x14ac:dyDescent="0.2">
      <c r="A68" s="6" t="s">
        <v>13</v>
      </c>
      <c r="B68" s="15">
        <v>2019</v>
      </c>
      <c r="C68" s="8">
        <v>213034</v>
      </c>
      <c r="D68" s="8">
        <v>98764</v>
      </c>
      <c r="E68" s="7">
        <v>101.3</v>
      </c>
      <c r="F68" s="7">
        <v>103.5</v>
      </c>
      <c r="G68" s="8">
        <v>54394</v>
      </c>
      <c r="H68" s="9">
        <v>38524</v>
      </c>
    </row>
    <row r="69" spans="1:8" x14ac:dyDescent="0.2">
      <c r="A69" s="6" t="s">
        <v>13</v>
      </c>
      <c r="B69" s="15">
        <v>2020</v>
      </c>
      <c r="C69" s="8">
        <v>264981</v>
      </c>
      <c r="D69" s="8">
        <v>113353</v>
      </c>
      <c r="E69" s="7">
        <v>101.2</v>
      </c>
      <c r="F69" s="7">
        <v>114.4</v>
      </c>
      <c r="G69" s="8">
        <v>72798</v>
      </c>
      <c r="H69" s="9">
        <v>44818</v>
      </c>
    </row>
    <row r="70" spans="1:8" x14ac:dyDescent="0.2">
      <c r="A70" s="6" t="s">
        <v>13</v>
      </c>
      <c r="B70" s="15">
        <v>2021</v>
      </c>
      <c r="C70" s="8">
        <v>256137</v>
      </c>
      <c r="D70" s="8">
        <v>108532</v>
      </c>
      <c r="E70" s="7">
        <v>100</v>
      </c>
      <c r="F70" s="7">
        <v>98</v>
      </c>
      <c r="G70" s="8">
        <v>73286</v>
      </c>
      <c r="H70" s="9">
        <v>50510</v>
      </c>
    </row>
    <row r="71" spans="1:8" x14ac:dyDescent="0.2">
      <c r="A71" s="6" t="s">
        <v>13</v>
      </c>
      <c r="B71" s="15">
        <v>2022</v>
      </c>
      <c r="C71" s="8">
        <v>311862</v>
      </c>
      <c r="D71" s="8">
        <v>157646</v>
      </c>
      <c r="E71" s="7">
        <v>101.3</v>
      </c>
      <c r="F71" s="7">
        <v>105.7</v>
      </c>
      <c r="G71" s="8">
        <v>90050</v>
      </c>
      <c r="H71" s="9">
        <v>46005</v>
      </c>
    </row>
    <row r="72" spans="1:8" x14ac:dyDescent="0.2">
      <c r="A72" s="6" t="s">
        <v>13</v>
      </c>
      <c r="B72" s="15">
        <v>2023</v>
      </c>
      <c r="C72" s="8">
        <v>297376</v>
      </c>
      <c r="D72" s="8">
        <v>129343</v>
      </c>
      <c r="E72" s="7">
        <v>106.3</v>
      </c>
      <c r="F72" s="7">
        <v>109.4</v>
      </c>
      <c r="G72" s="8">
        <v>78306</v>
      </c>
      <c r="H72" s="9">
        <v>46414</v>
      </c>
    </row>
    <row r="73" spans="1:8" x14ac:dyDescent="0.2">
      <c r="A73" s="6" t="s">
        <v>13</v>
      </c>
      <c r="B73" s="15">
        <v>2024</v>
      </c>
      <c r="C73" s="8">
        <v>351321</v>
      </c>
      <c r="D73" s="8">
        <v>156617</v>
      </c>
      <c r="E73" s="7">
        <v>99.5</v>
      </c>
      <c r="F73" s="7">
        <v>107.4</v>
      </c>
      <c r="G73" s="8">
        <v>152751</v>
      </c>
      <c r="H73" s="9">
        <v>50190</v>
      </c>
    </row>
    <row r="74" spans="1:8" x14ac:dyDescent="0.2">
      <c r="A74" s="6" t="s">
        <v>14</v>
      </c>
      <c r="B74" s="15">
        <v>2013</v>
      </c>
      <c r="C74" s="8">
        <v>166750</v>
      </c>
      <c r="D74" s="8">
        <v>58604</v>
      </c>
      <c r="E74" s="7">
        <v>104.3</v>
      </c>
      <c r="F74" s="7">
        <v>110.9</v>
      </c>
      <c r="G74" s="8">
        <v>58295</v>
      </c>
      <c r="H74" s="9">
        <v>151364</v>
      </c>
    </row>
    <row r="75" spans="1:8" x14ac:dyDescent="0.2">
      <c r="A75" s="6" t="s">
        <v>14</v>
      </c>
      <c r="B75" s="15">
        <v>2014</v>
      </c>
      <c r="C75" s="8">
        <v>185047</v>
      </c>
      <c r="D75" s="8">
        <v>64009</v>
      </c>
      <c r="E75" s="7">
        <v>98.5</v>
      </c>
      <c r="F75" s="7">
        <v>116.4</v>
      </c>
      <c r="G75" s="8">
        <v>69190</v>
      </c>
      <c r="H75" s="9">
        <v>159699</v>
      </c>
    </row>
    <row r="76" spans="1:8" x14ac:dyDescent="0.2">
      <c r="A76" s="6" t="s">
        <v>14</v>
      </c>
      <c r="B76" s="15">
        <v>2015</v>
      </c>
      <c r="C76" s="8">
        <v>198697</v>
      </c>
      <c r="D76" s="8">
        <v>63807</v>
      </c>
      <c r="E76" s="7">
        <v>102.8</v>
      </c>
      <c r="F76" s="7">
        <v>97.2</v>
      </c>
      <c r="G76" s="8">
        <v>59599</v>
      </c>
      <c r="H76" s="9">
        <v>154197</v>
      </c>
    </row>
    <row r="77" spans="1:8" x14ac:dyDescent="0.2">
      <c r="A77" s="6" t="s">
        <v>14</v>
      </c>
      <c r="B77" s="15">
        <v>2016</v>
      </c>
      <c r="C77" s="8">
        <v>207841</v>
      </c>
      <c r="D77" s="8">
        <v>82820</v>
      </c>
      <c r="E77" s="7">
        <v>101.3</v>
      </c>
      <c r="F77" s="7">
        <v>94.6</v>
      </c>
      <c r="G77" s="8">
        <v>75596</v>
      </c>
      <c r="H77" s="9">
        <v>169284</v>
      </c>
    </row>
    <row r="78" spans="1:8" x14ac:dyDescent="0.2">
      <c r="A78" s="6" t="s">
        <v>14</v>
      </c>
      <c r="B78" s="15">
        <v>2017</v>
      </c>
      <c r="C78" s="8">
        <v>240705</v>
      </c>
      <c r="D78" s="8">
        <v>84059</v>
      </c>
      <c r="E78" s="7">
        <v>102.9</v>
      </c>
      <c r="F78" s="7">
        <v>100.8</v>
      </c>
      <c r="G78" s="8">
        <v>74525</v>
      </c>
      <c r="H78" s="9">
        <v>179920</v>
      </c>
    </row>
    <row r="79" spans="1:8" x14ac:dyDescent="0.2">
      <c r="A79" s="6" t="s">
        <v>14</v>
      </c>
      <c r="B79" s="15">
        <v>2018</v>
      </c>
      <c r="C79" s="8">
        <v>220235</v>
      </c>
      <c r="D79" s="8">
        <v>87108</v>
      </c>
      <c r="E79" s="7">
        <v>98.4</v>
      </c>
      <c r="F79" s="7">
        <v>100.7</v>
      </c>
      <c r="G79" s="8">
        <v>112648</v>
      </c>
      <c r="H79" s="9">
        <v>161160</v>
      </c>
    </row>
    <row r="80" spans="1:8" x14ac:dyDescent="0.2">
      <c r="A80" s="6" t="s">
        <v>14</v>
      </c>
      <c r="B80" s="15">
        <v>2019</v>
      </c>
      <c r="C80" s="8">
        <v>270553</v>
      </c>
      <c r="D80" s="8">
        <v>89471</v>
      </c>
      <c r="E80" s="7">
        <v>103.6</v>
      </c>
      <c r="F80" s="7">
        <v>110</v>
      </c>
      <c r="G80" s="8">
        <v>98663</v>
      </c>
      <c r="H80" s="9">
        <v>162489</v>
      </c>
    </row>
    <row r="81" spans="1:8" x14ac:dyDescent="0.2">
      <c r="A81" s="6" t="s">
        <v>14</v>
      </c>
      <c r="B81" s="15">
        <v>2020</v>
      </c>
      <c r="C81" s="8">
        <v>296691</v>
      </c>
      <c r="D81" s="8">
        <v>140350</v>
      </c>
      <c r="E81" s="7">
        <v>98.5</v>
      </c>
      <c r="F81" s="7">
        <v>105.3</v>
      </c>
      <c r="G81" s="8">
        <v>89795</v>
      </c>
      <c r="H81" s="9">
        <v>150797</v>
      </c>
    </row>
    <row r="82" spans="1:8" x14ac:dyDescent="0.2">
      <c r="A82" s="6" t="s">
        <v>14</v>
      </c>
      <c r="B82" s="15">
        <v>2021</v>
      </c>
      <c r="C82" s="8">
        <v>298518</v>
      </c>
      <c r="D82" s="8">
        <v>104644</v>
      </c>
      <c r="E82" s="7">
        <v>103.7</v>
      </c>
      <c r="F82" s="7">
        <v>104.4</v>
      </c>
      <c r="G82" s="8">
        <v>130334</v>
      </c>
      <c r="H82" s="9">
        <v>151680</v>
      </c>
    </row>
    <row r="83" spans="1:8" x14ac:dyDescent="0.2">
      <c r="A83" s="6" t="s">
        <v>14</v>
      </c>
      <c r="B83" s="15">
        <v>2022</v>
      </c>
      <c r="C83" s="8">
        <v>325963</v>
      </c>
      <c r="D83" s="8">
        <v>136164</v>
      </c>
      <c r="E83" s="7">
        <v>107.2</v>
      </c>
      <c r="F83" s="7">
        <v>96.4</v>
      </c>
      <c r="G83" s="8">
        <v>103159</v>
      </c>
      <c r="H83" s="9">
        <v>172123</v>
      </c>
    </row>
    <row r="84" spans="1:8" x14ac:dyDescent="0.2">
      <c r="A84" s="6" t="s">
        <v>14</v>
      </c>
      <c r="B84" s="15">
        <v>2023</v>
      </c>
      <c r="C84" s="8">
        <v>325414</v>
      </c>
      <c r="D84" s="8">
        <v>125437</v>
      </c>
      <c r="E84" s="7">
        <v>105.7</v>
      </c>
      <c r="F84" s="7">
        <v>105.2</v>
      </c>
      <c r="G84" s="8">
        <v>81258</v>
      </c>
      <c r="H84" s="9">
        <v>157511</v>
      </c>
    </row>
    <row r="85" spans="1:8" x14ac:dyDescent="0.2">
      <c r="A85" s="6" t="s">
        <v>14</v>
      </c>
      <c r="B85" s="15">
        <v>2024</v>
      </c>
      <c r="C85" s="8">
        <v>379207</v>
      </c>
      <c r="D85" s="8">
        <v>178536</v>
      </c>
      <c r="E85" s="7">
        <v>107.1</v>
      </c>
      <c r="F85" s="7">
        <v>117.4</v>
      </c>
      <c r="G85" s="8">
        <v>162392</v>
      </c>
      <c r="H85" s="9">
        <v>157260</v>
      </c>
    </row>
    <row r="86" spans="1:8" x14ac:dyDescent="0.2">
      <c r="A86" s="6" t="s">
        <v>15</v>
      </c>
      <c r="B86" s="15">
        <v>2013</v>
      </c>
      <c r="C86" s="8">
        <v>181239</v>
      </c>
      <c r="D86" s="8">
        <v>55133</v>
      </c>
      <c r="E86" s="7">
        <v>103.8</v>
      </c>
      <c r="F86" s="7">
        <v>111.5</v>
      </c>
      <c r="G86" s="8">
        <v>28143</v>
      </c>
      <c r="H86" s="9">
        <v>177407</v>
      </c>
    </row>
    <row r="87" spans="1:8" x14ac:dyDescent="0.2">
      <c r="A87" s="6" t="s">
        <v>15</v>
      </c>
      <c r="B87" s="15">
        <v>2014</v>
      </c>
      <c r="C87" s="8">
        <v>196578</v>
      </c>
      <c r="D87" s="8">
        <v>71447</v>
      </c>
      <c r="E87" s="7">
        <v>110.9</v>
      </c>
      <c r="F87" s="7">
        <v>106</v>
      </c>
      <c r="G87" s="8">
        <v>41718</v>
      </c>
      <c r="H87" s="9">
        <v>179552</v>
      </c>
    </row>
    <row r="88" spans="1:8" x14ac:dyDescent="0.2">
      <c r="A88" s="6" t="s">
        <v>15</v>
      </c>
      <c r="B88" s="15">
        <v>2015</v>
      </c>
      <c r="C88" s="8">
        <v>193186</v>
      </c>
      <c r="D88" s="8">
        <v>63586</v>
      </c>
      <c r="E88" s="7">
        <v>102.6</v>
      </c>
      <c r="F88" s="7">
        <v>110.7</v>
      </c>
      <c r="G88" s="8">
        <v>43368</v>
      </c>
      <c r="H88" s="9">
        <v>185734</v>
      </c>
    </row>
    <row r="89" spans="1:8" x14ac:dyDescent="0.2">
      <c r="A89" s="6" t="s">
        <v>15</v>
      </c>
      <c r="B89" s="15">
        <v>2016</v>
      </c>
      <c r="C89" s="8">
        <v>217703</v>
      </c>
      <c r="D89" s="8">
        <v>101116</v>
      </c>
      <c r="E89" s="7">
        <v>103.1</v>
      </c>
      <c r="F89" s="7">
        <v>106</v>
      </c>
      <c r="G89" s="8">
        <v>55228</v>
      </c>
      <c r="H89" s="9">
        <v>160216</v>
      </c>
    </row>
    <row r="90" spans="1:8" x14ac:dyDescent="0.2">
      <c r="A90" s="6" t="s">
        <v>15</v>
      </c>
      <c r="B90" s="15">
        <v>2017</v>
      </c>
      <c r="C90" s="8">
        <v>240038</v>
      </c>
      <c r="D90" s="8">
        <v>112971</v>
      </c>
      <c r="E90" s="7">
        <v>102.6</v>
      </c>
      <c r="F90" s="7">
        <v>112.5</v>
      </c>
      <c r="G90" s="8">
        <v>61064</v>
      </c>
      <c r="H90" s="9">
        <v>156764</v>
      </c>
    </row>
    <row r="91" spans="1:8" x14ac:dyDescent="0.2">
      <c r="A91" s="6" t="s">
        <v>15</v>
      </c>
      <c r="B91" s="15">
        <v>2018</v>
      </c>
      <c r="C91" s="8">
        <v>235631</v>
      </c>
      <c r="D91" s="8">
        <v>81343</v>
      </c>
      <c r="E91" s="7">
        <v>103.2</v>
      </c>
      <c r="F91" s="7">
        <v>98.9</v>
      </c>
      <c r="G91" s="8">
        <v>57715</v>
      </c>
      <c r="H91" s="9">
        <v>179308</v>
      </c>
    </row>
    <row r="92" spans="1:8" x14ac:dyDescent="0.2">
      <c r="A92" s="6" t="s">
        <v>15</v>
      </c>
      <c r="B92" s="15">
        <v>2019</v>
      </c>
      <c r="C92" s="8">
        <v>258876</v>
      </c>
      <c r="D92" s="8">
        <v>96530</v>
      </c>
      <c r="E92" s="7">
        <v>99</v>
      </c>
      <c r="F92" s="7">
        <v>94.4</v>
      </c>
      <c r="G92" s="8">
        <v>72256</v>
      </c>
      <c r="H92" s="9">
        <v>205622</v>
      </c>
    </row>
    <row r="93" spans="1:8" x14ac:dyDescent="0.2">
      <c r="A93" s="6" t="s">
        <v>15</v>
      </c>
      <c r="B93" s="15">
        <v>2020</v>
      </c>
      <c r="C93" s="8">
        <v>260296</v>
      </c>
      <c r="D93" s="8">
        <v>125476</v>
      </c>
      <c r="E93" s="7">
        <v>102</v>
      </c>
      <c r="F93" s="7">
        <v>91.8</v>
      </c>
      <c r="G93" s="8">
        <v>50178</v>
      </c>
      <c r="H93" s="9">
        <v>183620</v>
      </c>
    </row>
    <row r="94" spans="1:8" x14ac:dyDescent="0.2">
      <c r="A94" s="6" t="s">
        <v>15</v>
      </c>
      <c r="B94" s="15">
        <v>2021</v>
      </c>
      <c r="C94" s="8">
        <v>280285</v>
      </c>
      <c r="D94" s="8">
        <v>116469</v>
      </c>
      <c r="E94" s="7">
        <v>98.7</v>
      </c>
      <c r="F94" s="7">
        <v>97.3</v>
      </c>
      <c r="G94" s="8">
        <v>65144</v>
      </c>
      <c r="H94" s="9">
        <v>193227</v>
      </c>
    </row>
    <row r="95" spans="1:8" x14ac:dyDescent="0.2">
      <c r="A95" s="6" t="s">
        <v>15</v>
      </c>
      <c r="B95" s="15">
        <v>2022</v>
      </c>
      <c r="C95" s="8">
        <v>297145</v>
      </c>
      <c r="D95" s="8">
        <v>111795</v>
      </c>
      <c r="E95" s="7">
        <v>102.6</v>
      </c>
      <c r="F95" s="7">
        <v>124.3</v>
      </c>
      <c r="G95" s="8">
        <v>86246</v>
      </c>
      <c r="H95" s="9">
        <v>164385</v>
      </c>
    </row>
    <row r="96" spans="1:8" x14ac:dyDescent="0.2">
      <c r="A96" s="6" t="s">
        <v>15</v>
      </c>
      <c r="B96" s="15">
        <v>2023</v>
      </c>
      <c r="C96" s="8">
        <v>388327</v>
      </c>
      <c r="D96" s="8">
        <v>204157</v>
      </c>
      <c r="E96" s="7">
        <v>102.9</v>
      </c>
      <c r="F96" s="7">
        <v>111.6</v>
      </c>
      <c r="G96" s="8">
        <v>103292</v>
      </c>
      <c r="H96" s="9">
        <v>206916</v>
      </c>
    </row>
    <row r="97" spans="1:8" x14ac:dyDescent="0.2">
      <c r="A97" s="6" t="s">
        <v>15</v>
      </c>
      <c r="B97" s="15">
        <v>2024</v>
      </c>
      <c r="C97" s="8">
        <v>349304</v>
      </c>
      <c r="D97" s="8">
        <v>160788</v>
      </c>
      <c r="E97" s="7">
        <v>102</v>
      </c>
      <c r="F97" s="7">
        <v>99.9</v>
      </c>
      <c r="G97" s="8">
        <v>95657</v>
      </c>
      <c r="H97" s="9">
        <v>198279</v>
      </c>
    </row>
    <row r="98" spans="1:8" x14ac:dyDescent="0.2">
      <c r="A98" s="6" t="s">
        <v>16</v>
      </c>
      <c r="B98" s="15">
        <v>2013</v>
      </c>
      <c r="C98" s="8">
        <v>108812</v>
      </c>
      <c r="D98" s="8">
        <v>40383</v>
      </c>
      <c r="E98" s="7">
        <v>102.4</v>
      </c>
      <c r="F98" s="7">
        <v>102.8</v>
      </c>
      <c r="G98" s="8">
        <v>18081</v>
      </c>
      <c r="H98" s="9">
        <v>37033</v>
      </c>
    </row>
    <row r="99" spans="1:8" x14ac:dyDescent="0.2">
      <c r="A99" s="6" t="s">
        <v>16</v>
      </c>
      <c r="B99" s="15">
        <v>2014</v>
      </c>
      <c r="C99" s="8">
        <v>97639</v>
      </c>
      <c r="D99" s="8">
        <v>43237</v>
      </c>
      <c r="E99" s="7">
        <v>99.3</v>
      </c>
      <c r="F99" s="7">
        <v>96.2</v>
      </c>
      <c r="G99" s="8">
        <v>21386</v>
      </c>
      <c r="H99" s="9">
        <v>35717</v>
      </c>
    </row>
    <row r="100" spans="1:8" x14ac:dyDescent="0.2">
      <c r="A100" s="6" t="s">
        <v>16</v>
      </c>
      <c r="B100" s="15">
        <v>2015</v>
      </c>
      <c r="C100" s="8">
        <v>123743</v>
      </c>
      <c r="D100" s="8">
        <v>56274</v>
      </c>
      <c r="E100" s="7">
        <v>99.7</v>
      </c>
      <c r="F100" s="7">
        <v>95.2</v>
      </c>
      <c r="G100" s="8">
        <v>26734</v>
      </c>
      <c r="H100" s="9">
        <v>38881</v>
      </c>
    </row>
    <row r="101" spans="1:8" x14ac:dyDescent="0.2">
      <c r="A101" s="6" t="s">
        <v>16</v>
      </c>
      <c r="B101" s="15">
        <v>2016</v>
      </c>
      <c r="C101" s="8">
        <v>144170</v>
      </c>
      <c r="D101" s="8">
        <v>51041</v>
      </c>
      <c r="E101" s="7">
        <v>99.3</v>
      </c>
      <c r="F101" s="7">
        <v>108.1</v>
      </c>
      <c r="G101" s="8">
        <v>28048</v>
      </c>
      <c r="H101" s="9">
        <v>35163</v>
      </c>
    </row>
    <row r="102" spans="1:8" x14ac:dyDescent="0.2">
      <c r="A102" s="6" t="s">
        <v>16</v>
      </c>
      <c r="B102" s="15">
        <v>2017</v>
      </c>
      <c r="C102" s="8">
        <v>152961</v>
      </c>
      <c r="D102" s="8">
        <v>66194</v>
      </c>
      <c r="E102" s="7">
        <v>102.2</v>
      </c>
      <c r="F102" s="7">
        <v>107.4</v>
      </c>
      <c r="G102" s="8">
        <v>20207</v>
      </c>
      <c r="H102" s="9">
        <v>36011</v>
      </c>
    </row>
    <row r="103" spans="1:8" x14ac:dyDescent="0.2">
      <c r="A103" s="6" t="s">
        <v>16</v>
      </c>
      <c r="B103" s="15">
        <v>2018</v>
      </c>
      <c r="C103" s="8">
        <v>163377</v>
      </c>
      <c r="D103" s="8">
        <v>63061</v>
      </c>
      <c r="E103" s="7">
        <v>107.8</v>
      </c>
      <c r="F103" s="7">
        <v>104.3</v>
      </c>
      <c r="G103" s="8">
        <v>30295</v>
      </c>
      <c r="H103" s="9">
        <v>33807</v>
      </c>
    </row>
    <row r="104" spans="1:8" x14ac:dyDescent="0.2">
      <c r="A104" s="6" t="s">
        <v>16</v>
      </c>
      <c r="B104" s="15">
        <v>2019</v>
      </c>
      <c r="C104" s="8">
        <v>182740</v>
      </c>
      <c r="D104" s="8">
        <v>61403</v>
      </c>
      <c r="E104" s="7">
        <v>108.6</v>
      </c>
      <c r="F104" s="7">
        <v>98.9</v>
      </c>
      <c r="G104" s="8">
        <v>31594</v>
      </c>
      <c r="H104" s="9">
        <v>40853</v>
      </c>
    </row>
    <row r="105" spans="1:8" x14ac:dyDescent="0.2">
      <c r="A105" s="6" t="s">
        <v>16</v>
      </c>
      <c r="B105" s="15">
        <v>2020</v>
      </c>
      <c r="C105" s="8">
        <v>177789</v>
      </c>
      <c r="D105" s="8">
        <v>61017</v>
      </c>
      <c r="E105" s="7">
        <v>101.2</v>
      </c>
      <c r="F105" s="7">
        <v>107.3</v>
      </c>
      <c r="G105" s="8">
        <v>32669</v>
      </c>
      <c r="H105" s="9">
        <v>39193</v>
      </c>
    </row>
    <row r="106" spans="1:8" x14ac:dyDescent="0.2">
      <c r="A106" s="6" t="s">
        <v>16</v>
      </c>
      <c r="B106" s="15">
        <v>2021</v>
      </c>
      <c r="C106" s="8">
        <v>200870</v>
      </c>
      <c r="D106" s="8">
        <v>66444</v>
      </c>
      <c r="E106" s="7">
        <v>101</v>
      </c>
      <c r="F106" s="7">
        <v>102.2</v>
      </c>
      <c r="G106" s="8">
        <v>33223</v>
      </c>
      <c r="H106" s="9">
        <v>39835</v>
      </c>
    </row>
    <row r="107" spans="1:8" x14ac:dyDescent="0.2">
      <c r="A107" s="6" t="s">
        <v>16</v>
      </c>
      <c r="B107" s="15">
        <v>2022</v>
      </c>
      <c r="C107" s="8">
        <v>208926</v>
      </c>
      <c r="D107" s="8">
        <v>90937</v>
      </c>
      <c r="E107" s="7">
        <v>101.5</v>
      </c>
      <c r="F107" s="7">
        <v>112.2</v>
      </c>
      <c r="G107" s="8">
        <v>40474</v>
      </c>
      <c r="H107" s="9">
        <v>39752</v>
      </c>
    </row>
    <row r="108" spans="1:8" x14ac:dyDescent="0.2">
      <c r="A108" s="6" t="s">
        <v>16</v>
      </c>
      <c r="B108" s="15">
        <v>2023</v>
      </c>
      <c r="C108" s="8">
        <v>236871</v>
      </c>
      <c r="D108" s="8">
        <v>92111</v>
      </c>
      <c r="E108" s="7">
        <v>105.1</v>
      </c>
      <c r="F108" s="7">
        <v>107.6</v>
      </c>
      <c r="G108" s="8">
        <v>41692</v>
      </c>
      <c r="H108" s="9">
        <v>39223</v>
      </c>
    </row>
    <row r="109" spans="1:8" x14ac:dyDescent="0.2">
      <c r="A109" s="6" t="s">
        <v>16</v>
      </c>
      <c r="B109" s="15">
        <v>2024</v>
      </c>
      <c r="C109" s="8">
        <v>241312</v>
      </c>
      <c r="D109" s="8">
        <v>90313</v>
      </c>
      <c r="E109" s="7">
        <v>102</v>
      </c>
      <c r="F109" s="7">
        <v>98.2</v>
      </c>
      <c r="G109" s="8">
        <v>37341</v>
      </c>
      <c r="H109" s="9">
        <v>40044</v>
      </c>
    </row>
    <row r="110" spans="1:8" x14ac:dyDescent="0.2">
      <c r="A110" s="6" t="s">
        <v>17</v>
      </c>
      <c r="B110" s="15">
        <v>2013</v>
      </c>
      <c r="C110" s="8">
        <v>135095</v>
      </c>
      <c r="D110" s="8">
        <v>42772</v>
      </c>
      <c r="E110" s="7">
        <v>100.4</v>
      </c>
      <c r="F110" s="7">
        <v>101.3</v>
      </c>
      <c r="G110" s="8">
        <v>26446</v>
      </c>
      <c r="H110" s="9">
        <v>45583</v>
      </c>
    </row>
    <row r="111" spans="1:8" x14ac:dyDescent="0.2">
      <c r="A111" s="6" t="s">
        <v>17</v>
      </c>
      <c r="B111" s="15">
        <v>2014</v>
      </c>
      <c r="C111" s="8">
        <v>158009</v>
      </c>
      <c r="D111" s="8">
        <v>62380</v>
      </c>
      <c r="E111" s="7">
        <v>101</v>
      </c>
      <c r="F111" s="7">
        <v>91.3</v>
      </c>
      <c r="G111" s="8">
        <v>50389</v>
      </c>
      <c r="H111" s="9">
        <v>41361</v>
      </c>
    </row>
    <row r="112" spans="1:8" x14ac:dyDescent="0.2">
      <c r="A112" s="6" t="s">
        <v>17</v>
      </c>
      <c r="B112" s="15">
        <v>2015</v>
      </c>
      <c r="C112" s="8">
        <v>156671</v>
      </c>
      <c r="D112" s="8">
        <v>56226</v>
      </c>
      <c r="E112" s="7">
        <v>98.9</v>
      </c>
      <c r="F112" s="7">
        <v>104.2</v>
      </c>
      <c r="G112" s="8">
        <v>59168</v>
      </c>
      <c r="H112" s="9">
        <v>45577</v>
      </c>
    </row>
    <row r="113" spans="1:8" x14ac:dyDescent="0.2">
      <c r="A113" s="6" t="s">
        <v>17</v>
      </c>
      <c r="B113" s="15">
        <v>2016</v>
      </c>
      <c r="C113" s="8">
        <v>160552</v>
      </c>
      <c r="D113" s="8">
        <v>52940</v>
      </c>
      <c r="E113" s="7">
        <v>104.7</v>
      </c>
      <c r="F113" s="7">
        <v>102.5</v>
      </c>
      <c r="G113" s="8">
        <v>51364</v>
      </c>
      <c r="H113" s="9">
        <v>51091</v>
      </c>
    </row>
    <row r="114" spans="1:8" x14ac:dyDescent="0.2">
      <c r="A114" s="6" t="s">
        <v>17</v>
      </c>
      <c r="B114" s="15">
        <v>2017</v>
      </c>
      <c r="C114" s="8">
        <v>187019</v>
      </c>
      <c r="D114" s="8">
        <v>67795</v>
      </c>
      <c r="E114" s="7">
        <v>102.5</v>
      </c>
      <c r="F114" s="7">
        <v>99.8</v>
      </c>
      <c r="G114" s="8">
        <v>39415</v>
      </c>
      <c r="H114" s="9">
        <v>48327</v>
      </c>
    </row>
    <row r="115" spans="1:8" x14ac:dyDescent="0.2">
      <c r="A115" s="6" t="s">
        <v>17</v>
      </c>
      <c r="B115" s="15">
        <v>2018</v>
      </c>
      <c r="C115" s="8">
        <v>222003</v>
      </c>
      <c r="D115" s="8">
        <v>90942</v>
      </c>
      <c r="E115" s="7">
        <v>107.8</v>
      </c>
      <c r="F115" s="7">
        <v>100.6</v>
      </c>
      <c r="G115" s="8">
        <v>67160</v>
      </c>
      <c r="H115" s="9">
        <v>48552</v>
      </c>
    </row>
    <row r="116" spans="1:8" x14ac:dyDescent="0.2">
      <c r="A116" s="6" t="s">
        <v>17</v>
      </c>
      <c r="B116" s="15">
        <v>2019</v>
      </c>
      <c r="C116" s="8">
        <v>229270</v>
      </c>
      <c r="D116" s="8">
        <v>84010</v>
      </c>
      <c r="E116" s="7">
        <v>103.5</v>
      </c>
      <c r="F116" s="7">
        <v>110.5</v>
      </c>
      <c r="G116" s="8">
        <v>59818</v>
      </c>
      <c r="H116" s="9">
        <v>55106</v>
      </c>
    </row>
    <row r="117" spans="1:8" x14ac:dyDescent="0.2">
      <c r="A117" s="6" t="s">
        <v>17</v>
      </c>
      <c r="B117" s="15">
        <v>2020</v>
      </c>
      <c r="C117" s="8">
        <v>241196</v>
      </c>
      <c r="D117" s="8">
        <v>96959</v>
      </c>
      <c r="E117" s="7">
        <v>93.7</v>
      </c>
      <c r="F117" s="7">
        <v>101.9</v>
      </c>
      <c r="G117" s="8">
        <v>63598</v>
      </c>
      <c r="H117" s="9">
        <v>50781</v>
      </c>
    </row>
    <row r="118" spans="1:8" x14ac:dyDescent="0.2">
      <c r="A118" s="6" t="s">
        <v>17</v>
      </c>
      <c r="B118" s="15">
        <v>2021</v>
      </c>
      <c r="C118" s="8">
        <v>263087</v>
      </c>
      <c r="D118" s="8">
        <v>118444</v>
      </c>
      <c r="E118" s="7">
        <v>102.1</v>
      </c>
      <c r="F118" s="7">
        <v>101.4</v>
      </c>
      <c r="G118" s="8">
        <v>86509</v>
      </c>
      <c r="H118" s="9">
        <v>42583</v>
      </c>
    </row>
    <row r="119" spans="1:8" x14ac:dyDescent="0.2">
      <c r="A119" s="6" t="s">
        <v>17</v>
      </c>
      <c r="B119" s="15">
        <v>2022</v>
      </c>
      <c r="C119" s="8">
        <v>288050</v>
      </c>
      <c r="D119" s="8">
        <v>101397</v>
      </c>
      <c r="E119" s="7">
        <v>103.9</v>
      </c>
      <c r="F119" s="7">
        <v>98.6</v>
      </c>
      <c r="G119" s="8">
        <v>98584</v>
      </c>
      <c r="H119" s="9">
        <v>49191</v>
      </c>
    </row>
    <row r="120" spans="1:8" x14ac:dyDescent="0.2">
      <c r="A120" s="6" t="s">
        <v>17</v>
      </c>
      <c r="B120" s="15">
        <v>2023</v>
      </c>
      <c r="C120" s="8">
        <v>324716</v>
      </c>
      <c r="D120" s="8">
        <v>161933</v>
      </c>
      <c r="E120" s="7">
        <v>106.6</v>
      </c>
      <c r="F120" s="7">
        <v>109.1</v>
      </c>
      <c r="G120" s="8">
        <v>114049</v>
      </c>
      <c r="H120" s="9">
        <v>49125</v>
      </c>
    </row>
    <row r="121" spans="1:8" x14ac:dyDescent="0.2">
      <c r="A121" s="6" t="s">
        <v>17</v>
      </c>
      <c r="B121" s="15">
        <v>2024</v>
      </c>
      <c r="C121" s="8">
        <v>304662</v>
      </c>
      <c r="D121" s="8">
        <v>114407</v>
      </c>
      <c r="E121" s="7">
        <v>103</v>
      </c>
      <c r="F121" s="7">
        <v>113.1</v>
      </c>
      <c r="G121" s="8">
        <v>91684</v>
      </c>
      <c r="H121" s="9">
        <v>52639</v>
      </c>
    </row>
    <row r="122" spans="1:8" x14ac:dyDescent="0.2">
      <c r="A122" s="6" t="s">
        <v>18</v>
      </c>
      <c r="B122" s="15">
        <v>2013</v>
      </c>
      <c r="C122" s="8">
        <v>193883</v>
      </c>
      <c r="D122" s="8">
        <v>82655</v>
      </c>
      <c r="E122" s="7">
        <v>104.7</v>
      </c>
      <c r="F122" s="7">
        <v>96.8</v>
      </c>
      <c r="G122" s="8">
        <v>32329</v>
      </c>
      <c r="H122" s="9">
        <v>183728</v>
      </c>
    </row>
    <row r="123" spans="1:8" x14ac:dyDescent="0.2">
      <c r="A123" s="6" t="s">
        <v>18</v>
      </c>
      <c r="B123" s="15">
        <v>2014</v>
      </c>
      <c r="C123" s="8">
        <v>212184</v>
      </c>
      <c r="D123" s="8">
        <v>105670</v>
      </c>
      <c r="E123" s="7">
        <v>101.9</v>
      </c>
      <c r="F123" s="7">
        <v>105.1</v>
      </c>
      <c r="G123" s="8">
        <v>35120</v>
      </c>
      <c r="H123" s="9">
        <v>162571</v>
      </c>
    </row>
    <row r="124" spans="1:8" x14ac:dyDescent="0.2">
      <c r="A124" s="6" t="s">
        <v>18</v>
      </c>
      <c r="B124" s="15">
        <v>2015</v>
      </c>
      <c r="C124" s="8">
        <v>214825</v>
      </c>
      <c r="D124" s="8">
        <v>110304</v>
      </c>
      <c r="E124" s="7">
        <v>95.3</v>
      </c>
      <c r="F124" s="7">
        <v>97.1</v>
      </c>
      <c r="G124" s="8">
        <v>48255</v>
      </c>
      <c r="H124" s="9">
        <v>177213</v>
      </c>
    </row>
    <row r="125" spans="1:8" x14ac:dyDescent="0.2">
      <c r="A125" s="6" t="s">
        <v>18</v>
      </c>
      <c r="B125" s="15">
        <v>2016</v>
      </c>
      <c r="C125" s="8">
        <v>223706</v>
      </c>
      <c r="D125" s="8">
        <v>152864</v>
      </c>
      <c r="E125" s="7">
        <v>99.8</v>
      </c>
      <c r="F125" s="7">
        <v>111.6</v>
      </c>
      <c r="G125" s="8">
        <v>47882</v>
      </c>
      <c r="H125" s="9">
        <v>173792</v>
      </c>
    </row>
    <row r="126" spans="1:8" x14ac:dyDescent="0.2">
      <c r="A126" s="6" t="s">
        <v>18</v>
      </c>
      <c r="B126" s="15">
        <v>2017</v>
      </c>
      <c r="C126" s="8">
        <v>249746</v>
      </c>
      <c r="D126" s="8">
        <v>153890</v>
      </c>
      <c r="E126" s="7">
        <v>103.1</v>
      </c>
      <c r="F126" s="7">
        <v>116.3</v>
      </c>
      <c r="G126" s="8">
        <v>51773</v>
      </c>
      <c r="H126" s="9">
        <v>156636</v>
      </c>
    </row>
    <row r="127" spans="1:8" x14ac:dyDescent="0.2">
      <c r="A127" s="6" t="s">
        <v>18</v>
      </c>
      <c r="B127" s="15">
        <v>2018</v>
      </c>
      <c r="C127" s="8">
        <v>274821</v>
      </c>
      <c r="D127" s="8">
        <v>155968</v>
      </c>
      <c r="E127" s="7">
        <v>103.3</v>
      </c>
      <c r="F127" s="7">
        <v>97.2</v>
      </c>
      <c r="G127" s="8">
        <v>45946</v>
      </c>
      <c r="H127" s="9">
        <v>188588</v>
      </c>
    </row>
    <row r="128" spans="1:8" x14ac:dyDescent="0.2">
      <c r="A128" s="6" t="s">
        <v>18</v>
      </c>
      <c r="B128" s="15">
        <v>2019</v>
      </c>
      <c r="C128" s="8">
        <v>279673</v>
      </c>
      <c r="D128" s="8">
        <v>158357</v>
      </c>
      <c r="E128" s="7">
        <v>101.1</v>
      </c>
      <c r="F128" s="7">
        <v>112.5</v>
      </c>
      <c r="G128" s="8">
        <v>70696</v>
      </c>
      <c r="H128" s="9">
        <v>159682</v>
      </c>
    </row>
    <row r="129" spans="1:8" x14ac:dyDescent="0.2">
      <c r="A129" s="6" t="s">
        <v>18</v>
      </c>
      <c r="B129" s="15">
        <v>2020</v>
      </c>
      <c r="C129" s="8">
        <v>299936</v>
      </c>
      <c r="D129" s="8">
        <v>152465</v>
      </c>
      <c r="E129" s="7">
        <v>104.3</v>
      </c>
      <c r="F129" s="7">
        <v>105.3</v>
      </c>
      <c r="G129" s="8">
        <v>61354</v>
      </c>
      <c r="H129" s="9">
        <v>169391</v>
      </c>
    </row>
    <row r="130" spans="1:8" x14ac:dyDescent="0.2">
      <c r="A130" s="6" t="s">
        <v>18</v>
      </c>
      <c r="B130" s="15">
        <v>2021</v>
      </c>
      <c r="C130" s="8">
        <v>328241</v>
      </c>
      <c r="D130" s="8">
        <v>181847</v>
      </c>
      <c r="E130" s="7">
        <v>106.5</v>
      </c>
      <c r="F130" s="7">
        <v>95.1</v>
      </c>
      <c r="G130" s="8">
        <v>57142</v>
      </c>
      <c r="H130" s="9">
        <v>193558</v>
      </c>
    </row>
    <row r="131" spans="1:8" x14ac:dyDescent="0.2">
      <c r="A131" s="6" t="s">
        <v>18</v>
      </c>
      <c r="B131" s="15">
        <v>2022</v>
      </c>
      <c r="C131" s="8">
        <v>375400</v>
      </c>
      <c r="D131" s="8">
        <v>249129</v>
      </c>
      <c r="E131" s="7">
        <v>104.8</v>
      </c>
      <c r="F131" s="7">
        <v>91.8</v>
      </c>
      <c r="G131" s="8">
        <v>68521</v>
      </c>
      <c r="H131" s="9">
        <v>177893</v>
      </c>
    </row>
    <row r="132" spans="1:8" x14ac:dyDescent="0.2">
      <c r="A132" s="6" t="s">
        <v>18</v>
      </c>
      <c r="B132" s="15">
        <v>2023</v>
      </c>
      <c r="C132" s="8">
        <v>377811</v>
      </c>
      <c r="D132" s="8">
        <v>231174</v>
      </c>
      <c r="E132" s="7">
        <v>100.9</v>
      </c>
      <c r="F132" s="7">
        <v>101.4</v>
      </c>
      <c r="G132" s="8">
        <v>96205</v>
      </c>
      <c r="H132" s="9">
        <v>196725</v>
      </c>
    </row>
    <row r="133" spans="1:8" x14ac:dyDescent="0.2">
      <c r="A133" s="6" t="s">
        <v>18</v>
      </c>
      <c r="B133" s="15">
        <v>2024</v>
      </c>
      <c r="C133" s="8">
        <v>409565</v>
      </c>
      <c r="D133" s="8">
        <v>232728</v>
      </c>
      <c r="E133" s="7">
        <v>102.2</v>
      </c>
      <c r="F133" s="7">
        <v>91.9</v>
      </c>
      <c r="G133" s="8">
        <v>103327</v>
      </c>
      <c r="H133" s="9">
        <v>188423</v>
      </c>
    </row>
    <row r="134" spans="1:8" x14ac:dyDescent="0.2">
      <c r="A134" s="6" t="s">
        <v>19</v>
      </c>
      <c r="B134" s="15">
        <v>2013</v>
      </c>
      <c r="C134" s="8">
        <v>129542</v>
      </c>
      <c r="D134" s="8">
        <v>55142</v>
      </c>
      <c r="E134" s="7">
        <v>104.8</v>
      </c>
      <c r="F134" s="7">
        <v>109.2</v>
      </c>
      <c r="G134" s="8">
        <v>31152</v>
      </c>
      <c r="H134" s="9">
        <v>24704</v>
      </c>
    </row>
    <row r="135" spans="1:8" x14ac:dyDescent="0.2">
      <c r="A135" s="6" t="s">
        <v>19</v>
      </c>
      <c r="B135" s="15">
        <v>2014</v>
      </c>
      <c r="C135" s="8">
        <v>135671</v>
      </c>
      <c r="D135" s="8">
        <v>57541</v>
      </c>
      <c r="E135" s="7">
        <v>101.7</v>
      </c>
      <c r="F135" s="7">
        <v>109.4</v>
      </c>
      <c r="G135" s="8">
        <v>28317</v>
      </c>
      <c r="H135" s="9">
        <v>25029</v>
      </c>
    </row>
    <row r="136" spans="1:8" x14ac:dyDescent="0.2">
      <c r="A136" s="6" t="s">
        <v>19</v>
      </c>
      <c r="B136" s="15">
        <v>2015</v>
      </c>
      <c r="C136" s="8">
        <v>143420</v>
      </c>
      <c r="D136" s="8">
        <v>72362</v>
      </c>
      <c r="E136" s="7">
        <v>99.5</v>
      </c>
      <c r="F136" s="7">
        <v>97.1</v>
      </c>
      <c r="G136" s="8">
        <v>34138</v>
      </c>
      <c r="H136" s="9">
        <v>26560</v>
      </c>
    </row>
    <row r="137" spans="1:8" x14ac:dyDescent="0.2">
      <c r="A137" s="6" t="s">
        <v>19</v>
      </c>
      <c r="B137" s="15">
        <v>2016</v>
      </c>
      <c r="C137" s="8">
        <v>171066</v>
      </c>
      <c r="D137" s="8">
        <v>84564</v>
      </c>
      <c r="E137" s="7">
        <v>102.2</v>
      </c>
      <c r="F137" s="7">
        <v>87.5</v>
      </c>
      <c r="G137" s="8">
        <v>29098</v>
      </c>
      <c r="H137" s="9">
        <v>23360</v>
      </c>
    </row>
    <row r="138" spans="1:8" x14ac:dyDescent="0.2">
      <c r="A138" s="6" t="s">
        <v>19</v>
      </c>
      <c r="B138" s="15">
        <v>2017</v>
      </c>
      <c r="C138" s="8">
        <v>154880</v>
      </c>
      <c r="D138" s="8">
        <v>83296</v>
      </c>
      <c r="E138" s="7">
        <v>102.8</v>
      </c>
      <c r="F138" s="7">
        <v>84.6</v>
      </c>
      <c r="G138" s="8">
        <v>28311</v>
      </c>
      <c r="H138" s="9">
        <v>25925</v>
      </c>
    </row>
    <row r="139" spans="1:8" x14ac:dyDescent="0.2">
      <c r="A139" s="6" t="s">
        <v>19</v>
      </c>
      <c r="B139" s="15">
        <v>2018</v>
      </c>
      <c r="C139" s="8">
        <v>177728</v>
      </c>
      <c r="D139" s="8">
        <v>96072</v>
      </c>
      <c r="E139" s="7">
        <v>102.2</v>
      </c>
      <c r="F139" s="7">
        <v>100.9</v>
      </c>
      <c r="G139" s="8">
        <v>38514</v>
      </c>
      <c r="H139" s="9">
        <v>24795</v>
      </c>
    </row>
    <row r="140" spans="1:8" x14ac:dyDescent="0.2">
      <c r="A140" s="6" t="s">
        <v>19</v>
      </c>
      <c r="B140" s="15">
        <v>2019</v>
      </c>
      <c r="C140" s="8">
        <v>175248</v>
      </c>
      <c r="D140" s="8">
        <v>70037</v>
      </c>
      <c r="E140" s="7">
        <v>102.6</v>
      </c>
      <c r="F140" s="7">
        <v>105</v>
      </c>
      <c r="G140" s="8">
        <v>40640</v>
      </c>
      <c r="H140" s="9">
        <v>26275</v>
      </c>
    </row>
    <row r="141" spans="1:8" x14ac:dyDescent="0.2">
      <c r="A141" s="6" t="s">
        <v>19</v>
      </c>
      <c r="B141" s="15">
        <v>2020</v>
      </c>
      <c r="C141" s="8">
        <v>204081</v>
      </c>
      <c r="D141" s="8">
        <v>102669</v>
      </c>
      <c r="E141" s="7">
        <v>93.1</v>
      </c>
      <c r="F141" s="7">
        <v>93.7</v>
      </c>
      <c r="G141" s="8">
        <v>41223</v>
      </c>
      <c r="H141" s="9">
        <v>26152</v>
      </c>
    </row>
    <row r="142" spans="1:8" x14ac:dyDescent="0.2">
      <c r="A142" s="6" t="s">
        <v>19</v>
      </c>
      <c r="B142" s="15">
        <v>2021</v>
      </c>
      <c r="C142" s="8">
        <v>243236</v>
      </c>
      <c r="D142" s="8">
        <v>104695</v>
      </c>
      <c r="E142" s="7">
        <v>102.9</v>
      </c>
      <c r="F142" s="7">
        <v>102.3</v>
      </c>
      <c r="G142" s="8">
        <v>61896</v>
      </c>
      <c r="H142" s="9">
        <v>28671</v>
      </c>
    </row>
    <row r="143" spans="1:8" x14ac:dyDescent="0.2">
      <c r="A143" s="6" t="s">
        <v>19</v>
      </c>
      <c r="B143" s="15">
        <v>2022</v>
      </c>
      <c r="C143" s="8">
        <v>287547</v>
      </c>
      <c r="D143" s="8">
        <v>148669</v>
      </c>
      <c r="E143" s="7">
        <v>103.5</v>
      </c>
      <c r="F143" s="7">
        <v>91.5</v>
      </c>
      <c r="G143" s="8">
        <v>63329</v>
      </c>
      <c r="H143" s="9">
        <v>25837</v>
      </c>
    </row>
    <row r="144" spans="1:8" x14ac:dyDescent="0.2">
      <c r="A144" s="6" t="s">
        <v>19</v>
      </c>
      <c r="B144" s="15">
        <v>2023</v>
      </c>
      <c r="C144" s="8">
        <v>299102</v>
      </c>
      <c r="D144" s="8">
        <v>161202</v>
      </c>
      <c r="E144" s="7">
        <v>101.2</v>
      </c>
      <c r="F144" s="7">
        <v>93.8</v>
      </c>
      <c r="G144" s="8">
        <v>52399</v>
      </c>
      <c r="H144" s="9">
        <v>27873</v>
      </c>
    </row>
    <row r="145" spans="1:8" x14ac:dyDescent="0.2">
      <c r="A145" s="6" t="s">
        <v>19</v>
      </c>
      <c r="B145" s="15">
        <v>2024</v>
      </c>
      <c r="C145" s="8">
        <v>284955</v>
      </c>
      <c r="D145" s="8">
        <v>115558</v>
      </c>
      <c r="E145" s="7">
        <v>104.8</v>
      </c>
      <c r="F145" s="7">
        <v>86.5</v>
      </c>
      <c r="G145" s="8">
        <v>77080</v>
      </c>
      <c r="H145" s="9">
        <v>28178</v>
      </c>
    </row>
    <row r="146" spans="1:8" x14ac:dyDescent="0.2">
      <c r="A146" s="6" t="s">
        <v>20</v>
      </c>
      <c r="B146" s="15">
        <v>2013</v>
      </c>
      <c r="C146" s="8">
        <v>127834</v>
      </c>
      <c r="D146" s="8">
        <v>51726</v>
      </c>
      <c r="E146" s="7">
        <v>104.9</v>
      </c>
      <c r="F146" s="7">
        <v>104.8</v>
      </c>
      <c r="G146" s="8">
        <v>68778</v>
      </c>
      <c r="H146" s="9">
        <v>52985</v>
      </c>
    </row>
    <row r="147" spans="1:8" x14ac:dyDescent="0.2">
      <c r="A147" s="6" t="s">
        <v>20</v>
      </c>
      <c r="B147" s="15">
        <v>2014</v>
      </c>
      <c r="C147" s="8">
        <v>151303</v>
      </c>
      <c r="D147" s="8">
        <v>47179</v>
      </c>
      <c r="E147" s="7">
        <v>104.4</v>
      </c>
      <c r="F147" s="7">
        <v>89.3</v>
      </c>
      <c r="G147" s="8">
        <v>84045</v>
      </c>
      <c r="H147" s="9">
        <v>61112</v>
      </c>
    </row>
    <row r="148" spans="1:8" x14ac:dyDescent="0.2">
      <c r="A148" s="6" t="s">
        <v>20</v>
      </c>
      <c r="B148" s="15">
        <v>2015</v>
      </c>
      <c r="C148" s="8">
        <v>160294</v>
      </c>
      <c r="D148" s="8">
        <v>53984</v>
      </c>
      <c r="E148" s="7">
        <v>102</v>
      </c>
      <c r="F148" s="7">
        <v>106.7</v>
      </c>
      <c r="G148" s="8">
        <v>55200</v>
      </c>
      <c r="H148" s="9">
        <v>60468</v>
      </c>
    </row>
    <row r="149" spans="1:8" x14ac:dyDescent="0.2">
      <c r="A149" s="6" t="s">
        <v>20</v>
      </c>
      <c r="B149" s="15">
        <v>2016</v>
      </c>
      <c r="C149" s="8">
        <v>169487</v>
      </c>
      <c r="D149" s="8">
        <v>80066</v>
      </c>
      <c r="E149" s="7">
        <v>104</v>
      </c>
      <c r="F149" s="7">
        <v>116.8</v>
      </c>
      <c r="G149" s="8">
        <v>49118</v>
      </c>
      <c r="H149" s="9">
        <v>63440</v>
      </c>
    </row>
    <row r="150" spans="1:8" x14ac:dyDescent="0.2">
      <c r="A150" s="6" t="s">
        <v>20</v>
      </c>
      <c r="B150" s="15">
        <v>2017</v>
      </c>
      <c r="C150" s="8">
        <v>199184</v>
      </c>
      <c r="D150" s="8">
        <v>88806</v>
      </c>
      <c r="E150" s="7">
        <v>105.4</v>
      </c>
      <c r="F150" s="7">
        <v>110.8</v>
      </c>
      <c r="G150" s="8">
        <v>66131</v>
      </c>
      <c r="H150" s="9">
        <v>65401</v>
      </c>
    </row>
    <row r="151" spans="1:8" x14ac:dyDescent="0.2">
      <c r="A151" s="6" t="s">
        <v>20</v>
      </c>
      <c r="B151" s="15">
        <v>2018</v>
      </c>
      <c r="C151" s="8">
        <v>204164</v>
      </c>
      <c r="D151" s="8">
        <v>94664</v>
      </c>
      <c r="E151" s="7">
        <v>100.1</v>
      </c>
      <c r="F151" s="7">
        <v>96.9</v>
      </c>
      <c r="G151" s="8">
        <v>82101</v>
      </c>
      <c r="H151" s="9">
        <v>70123</v>
      </c>
    </row>
    <row r="152" spans="1:8" x14ac:dyDescent="0.2">
      <c r="A152" s="6" t="s">
        <v>20</v>
      </c>
      <c r="B152" s="15">
        <v>2019</v>
      </c>
      <c r="C152" s="8">
        <v>191739</v>
      </c>
      <c r="D152" s="8">
        <v>103846</v>
      </c>
      <c r="E152" s="7">
        <v>97.4</v>
      </c>
      <c r="F152" s="7">
        <v>100</v>
      </c>
      <c r="G152" s="8">
        <v>92769</v>
      </c>
      <c r="H152" s="9">
        <v>65545</v>
      </c>
    </row>
    <row r="153" spans="1:8" x14ac:dyDescent="0.2">
      <c r="A153" s="6" t="s">
        <v>20</v>
      </c>
      <c r="B153" s="15">
        <v>2020</v>
      </c>
      <c r="C153" s="8">
        <v>220930</v>
      </c>
      <c r="D153" s="8">
        <v>108418</v>
      </c>
      <c r="E153" s="7">
        <v>100.4</v>
      </c>
      <c r="F153" s="7">
        <v>98.5</v>
      </c>
      <c r="G153" s="8">
        <v>112563</v>
      </c>
      <c r="H153" s="9">
        <v>57625</v>
      </c>
    </row>
    <row r="154" spans="1:8" x14ac:dyDescent="0.2">
      <c r="A154" s="6" t="s">
        <v>20</v>
      </c>
      <c r="B154" s="15">
        <v>2021</v>
      </c>
      <c r="C154" s="8">
        <v>254850</v>
      </c>
      <c r="D154" s="8">
        <v>114116</v>
      </c>
      <c r="E154" s="7">
        <v>103.5</v>
      </c>
      <c r="F154" s="7">
        <v>91.3</v>
      </c>
      <c r="G154" s="8">
        <v>98381</v>
      </c>
      <c r="H154" s="9">
        <v>64694</v>
      </c>
    </row>
    <row r="155" spans="1:8" x14ac:dyDescent="0.2">
      <c r="A155" s="6" t="s">
        <v>20</v>
      </c>
      <c r="B155" s="15">
        <v>2022</v>
      </c>
      <c r="C155" s="8">
        <v>266878</v>
      </c>
      <c r="D155" s="8">
        <v>104839</v>
      </c>
      <c r="E155" s="7">
        <v>104.3</v>
      </c>
      <c r="F155" s="7">
        <v>86.3</v>
      </c>
      <c r="G155" s="8">
        <v>133185</v>
      </c>
      <c r="H155" s="9">
        <v>78871</v>
      </c>
    </row>
    <row r="156" spans="1:8" x14ac:dyDescent="0.2">
      <c r="A156" s="6" t="s">
        <v>20</v>
      </c>
      <c r="B156" s="15">
        <v>2023</v>
      </c>
      <c r="C156" s="8">
        <v>247952</v>
      </c>
      <c r="D156" s="8">
        <v>117272</v>
      </c>
      <c r="E156" s="7">
        <v>101.1</v>
      </c>
      <c r="F156" s="7">
        <v>107.2</v>
      </c>
      <c r="G156" s="8">
        <v>106974</v>
      </c>
      <c r="H156" s="9">
        <v>63457</v>
      </c>
    </row>
    <row r="157" spans="1:8" x14ac:dyDescent="0.2">
      <c r="A157" s="6" t="s">
        <v>20</v>
      </c>
      <c r="B157" s="15">
        <v>2024</v>
      </c>
      <c r="C157" s="8">
        <v>300913</v>
      </c>
      <c r="D157" s="8">
        <v>133241</v>
      </c>
      <c r="E157" s="7">
        <v>101.7</v>
      </c>
      <c r="F157" s="7">
        <v>100.2</v>
      </c>
      <c r="G157" s="8">
        <v>128744</v>
      </c>
      <c r="H157" s="9">
        <v>64635</v>
      </c>
    </row>
    <row r="158" spans="1:8" x14ac:dyDescent="0.2">
      <c r="A158" s="6" t="s">
        <v>21</v>
      </c>
      <c r="B158" s="15">
        <v>2013</v>
      </c>
      <c r="C158" s="8">
        <v>143881</v>
      </c>
      <c r="D158" s="8">
        <v>57169</v>
      </c>
      <c r="E158" s="7">
        <v>102.2</v>
      </c>
      <c r="F158" s="7">
        <v>99.9</v>
      </c>
      <c r="G158" s="8">
        <v>77226</v>
      </c>
      <c r="H158" s="9">
        <v>73493</v>
      </c>
    </row>
    <row r="159" spans="1:8" x14ac:dyDescent="0.2">
      <c r="A159" s="6" t="s">
        <v>21</v>
      </c>
      <c r="B159" s="15">
        <v>2014</v>
      </c>
      <c r="C159" s="8">
        <v>145268</v>
      </c>
      <c r="D159" s="8">
        <v>66689</v>
      </c>
      <c r="E159" s="7">
        <v>103.2</v>
      </c>
      <c r="F159" s="7">
        <v>99</v>
      </c>
      <c r="G159" s="8">
        <v>109230</v>
      </c>
      <c r="H159" s="9">
        <v>78676</v>
      </c>
    </row>
    <row r="160" spans="1:8" x14ac:dyDescent="0.2">
      <c r="A160" s="6" t="s">
        <v>21</v>
      </c>
      <c r="B160" s="15">
        <v>2015</v>
      </c>
      <c r="C160" s="8">
        <v>176185</v>
      </c>
      <c r="D160" s="8">
        <v>76945</v>
      </c>
      <c r="E160" s="7">
        <v>99.3</v>
      </c>
      <c r="F160" s="7">
        <v>100.8</v>
      </c>
      <c r="G160" s="8">
        <v>105704</v>
      </c>
      <c r="H160" s="9">
        <v>85768</v>
      </c>
    </row>
    <row r="161" spans="1:8" x14ac:dyDescent="0.2">
      <c r="A161" s="6" t="s">
        <v>21</v>
      </c>
      <c r="B161" s="15">
        <v>2016</v>
      </c>
      <c r="C161" s="8">
        <v>193746</v>
      </c>
      <c r="D161" s="8">
        <v>93794</v>
      </c>
      <c r="E161" s="7">
        <v>104.5</v>
      </c>
      <c r="F161" s="7">
        <v>97.8</v>
      </c>
      <c r="G161" s="8">
        <v>147709</v>
      </c>
      <c r="H161" s="9">
        <v>84218</v>
      </c>
    </row>
    <row r="162" spans="1:8" x14ac:dyDescent="0.2">
      <c r="A162" s="6" t="s">
        <v>21</v>
      </c>
      <c r="B162" s="15">
        <v>2017</v>
      </c>
      <c r="C162" s="8">
        <v>217219</v>
      </c>
      <c r="D162" s="8">
        <v>90675</v>
      </c>
      <c r="E162" s="7">
        <v>102.7</v>
      </c>
      <c r="F162" s="7">
        <v>111.5</v>
      </c>
      <c r="G162" s="8">
        <v>133034</v>
      </c>
      <c r="H162" s="9">
        <v>93585</v>
      </c>
    </row>
    <row r="163" spans="1:8" x14ac:dyDescent="0.2">
      <c r="A163" s="6" t="s">
        <v>21</v>
      </c>
      <c r="B163" s="15">
        <v>2018</v>
      </c>
      <c r="C163" s="8">
        <v>218581</v>
      </c>
      <c r="D163" s="8">
        <v>74374</v>
      </c>
      <c r="E163" s="7">
        <v>99.8</v>
      </c>
      <c r="F163" s="7">
        <v>106.4</v>
      </c>
      <c r="G163" s="8">
        <v>120917</v>
      </c>
      <c r="H163" s="9">
        <v>87674</v>
      </c>
    </row>
    <row r="164" spans="1:8" x14ac:dyDescent="0.2">
      <c r="A164" s="6" t="s">
        <v>21</v>
      </c>
      <c r="B164" s="15">
        <v>2019</v>
      </c>
      <c r="C164" s="8">
        <v>244750</v>
      </c>
      <c r="D164" s="8">
        <v>104495</v>
      </c>
      <c r="E164" s="7">
        <v>106.2</v>
      </c>
      <c r="F164" s="7">
        <v>111.9</v>
      </c>
      <c r="G164" s="8">
        <v>164108</v>
      </c>
      <c r="H164" s="9">
        <v>85560</v>
      </c>
    </row>
    <row r="165" spans="1:8" x14ac:dyDescent="0.2">
      <c r="A165" s="6" t="s">
        <v>21</v>
      </c>
      <c r="B165" s="15">
        <v>2020</v>
      </c>
      <c r="C165" s="8">
        <v>249889</v>
      </c>
      <c r="D165" s="8">
        <v>125279</v>
      </c>
      <c r="E165" s="7">
        <v>95.5</v>
      </c>
      <c r="F165" s="7">
        <v>100.9</v>
      </c>
      <c r="G165" s="8">
        <v>137469</v>
      </c>
      <c r="H165" s="9">
        <v>84650</v>
      </c>
    </row>
    <row r="166" spans="1:8" x14ac:dyDescent="0.2">
      <c r="A166" s="6" t="s">
        <v>21</v>
      </c>
      <c r="B166" s="15">
        <v>2021</v>
      </c>
      <c r="C166" s="8">
        <v>262661</v>
      </c>
      <c r="D166" s="8">
        <v>99028</v>
      </c>
      <c r="E166" s="7">
        <v>99.2</v>
      </c>
      <c r="F166" s="7">
        <v>90</v>
      </c>
      <c r="G166" s="8">
        <v>275436</v>
      </c>
      <c r="H166" s="9">
        <v>79569</v>
      </c>
    </row>
    <row r="167" spans="1:8" x14ac:dyDescent="0.2">
      <c r="A167" s="6" t="s">
        <v>21</v>
      </c>
      <c r="B167" s="15">
        <v>2022</v>
      </c>
      <c r="C167" s="8">
        <v>297224</v>
      </c>
      <c r="D167" s="8">
        <v>122281</v>
      </c>
      <c r="E167" s="7">
        <v>101.5</v>
      </c>
      <c r="F167" s="7">
        <v>109.4</v>
      </c>
      <c r="G167" s="8">
        <v>222284</v>
      </c>
      <c r="H167" s="9">
        <v>91322</v>
      </c>
    </row>
    <row r="168" spans="1:8" x14ac:dyDescent="0.2">
      <c r="A168" s="6" t="s">
        <v>21</v>
      </c>
      <c r="B168" s="15">
        <v>2023</v>
      </c>
      <c r="C168" s="8">
        <v>334222</v>
      </c>
      <c r="D168" s="8">
        <v>162971</v>
      </c>
      <c r="E168" s="7">
        <v>96.9</v>
      </c>
      <c r="F168" s="7">
        <v>104.9</v>
      </c>
      <c r="G168" s="8">
        <v>226387</v>
      </c>
      <c r="H168" s="9">
        <v>92128</v>
      </c>
    </row>
    <row r="169" spans="1:8" ht="17" thickBot="1" x14ac:dyDescent="0.25">
      <c r="A169" s="10" t="s">
        <v>21</v>
      </c>
      <c r="B169" s="16">
        <v>2024</v>
      </c>
      <c r="C169" s="12">
        <v>356606</v>
      </c>
      <c r="D169" s="12">
        <v>172911</v>
      </c>
      <c r="E169" s="11">
        <v>104.3</v>
      </c>
      <c r="F169" s="11">
        <v>93.2</v>
      </c>
      <c r="G169" s="12">
        <v>267491</v>
      </c>
      <c r="H169" s="13">
        <v>89870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B77ADF-0F0A-F340-B0DC-B3F3AA423378}">
  <dimension ref="A1:G18"/>
  <sheetViews>
    <sheetView zoomScale="221" workbookViewId="0">
      <selection activeCell="A13" sqref="A13:G18"/>
    </sheetView>
  </sheetViews>
  <sheetFormatPr baseColWidth="10" defaultRowHeight="16" x14ac:dyDescent="0.2"/>
  <cols>
    <col min="7" max="7" width="13.33203125" customWidth="1"/>
  </cols>
  <sheetData>
    <row r="1" spans="1:7" ht="16" customHeight="1" x14ac:dyDescent="0.2">
      <c r="A1" s="102" t="s">
        <v>89</v>
      </c>
      <c r="B1" s="103"/>
      <c r="C1" s="103"/>
      <c r="D1" s="103"/>
      <c r="E1" s="103"/>
      <c r="F1" s="103"/>
      <c r="G1" s="104"/>
    </row>
    <row r="2" spans="1:7" x14ac:dyDescent="0.2">
      <c r="A2" s="105"/>
      <c r="B2" s="106"/>
      <c r="C2" s="106"/>
      <c r="D2" s="106"/>
      <c r="E2" s="106"/>
      <c r="F2" s="106"/>
      <c r="G2" s="107"/>
    </row>
    <row r="3" spans="1:7" ht="17" thickBot="1" x14ac:dyDescent="0.25">
      <c r="A3" s="108"/>
      <c r="B3" s="109"/>
      <c r="C3" s="109"/>
      <c r="D3" s="109"/>
      <c r="E3" s="109"/>
      <c r="F3" s="109"/>
      <c r="G3" s="110"/>
    </row>
    <row r="4" spans="1:7" ht="16" customHeight="1" thickBot="1" x14ac:dyDescent="0.25">
      <c r="A4" s="111" t="s">
        <v>90</v>
      </c>
      <c r="B4" s="112"/>
      <c r="C4" s="112"/>
      <c r="D4" s="112"/>
      <c r="E4" s="112"/>
      <c r="F4" s="112"/>
      <c r="G4" s="113"/>
    </row>
    <row r="5" spans="1:7" x14ac:dyDescent="0.2">
      <c r="A5" s="93">
        <v>1</v>
      </c>
      <c r="B5" s="114" t="s">
        <v>97</v>
      </c>
      <c r="C5" s="114"/>
      <c r="D5" s="114"/>
      <c r="E5" s="114"/>
      <c r="F5" s="114"/>
      <c r="G5" s="115"/>
    </row>
    <row r="6" spans="1:7" x14ac:dyDescent="0.2">
      <c r="A6" s="94">
        <v>2</v>
      </c>
      <c r="B6" s="100" t="s">
        <v>96</v>
      </c>
      <c r="C6" s="100"/>
      <c r="D6" s="100"/>
      <c r="E6" s="100"/>
      <c r="F6" s="100"/>
      <c r="G6" s="101"/>
    </row>
    <row r="7" spans="1:7" x14ac:dyDescent="0.2">
      <c r="A7" s="94">
        <v>3</v>
      </c>
      <c r="B7" s="100" t="s">
        <v>95</v>
      </c>
      <c r="C7" s="100"/>
      <c r="D7" s="100"/>
      <c r="E7" s="100"/>
      <c r="F7" s="100"/>
      <c r="G7" s="101"/>
    </row>
    <row r="8" spans="1:7" x14ac:dyDescent="0.2">
      <c r="A8" s="94">
        <v>4</v>
      </c>
      <c r="B8" s="100" t="s">
        <v>94</v>
      </c>
      <c r="C8" s="100"/>
      <c r="D8" s="100"/>
      <c r="E8" s="100"/>
      <c r="F8" s="100"/>
      <c r="G8" s="101"/>
    </row>
    <row r="9" spans="1:7" x14ac:dyDescent="0.2">
      <c r="A9" s="94">
        <v>5</v>
      </c>
      <c r="B9" s="100" t="s">
        <v>93</v>
      </c>
      <c r="C9" s="100"/>
      <c r="D9" s="100"/>
      <c r="E9" s="100"/>
      <c r="F9" s="100"/>
      <c r="G9" s="101"/>
    </row>
    <row r="10" spans="1:7" x14ac:dyDescent="0.2">
      <c r="A10" s="94">
        <v>6</v>
      </c>
      <c r="B10" s="100" t="s">
        <v>92</v>
      </c>
      <c r="C10" s="100"/>
      <c r="D10" s="100"/>
      <c r="E10" s="100"/>
      <c r="F10" s="100"/>
      <c r="G10" s="101"/>
    </row>
    <row r="11" spans="1:7" ht="17" thickBot="1" x14ac:dyDescent="0.25">
      <c r="A11" s="95">
        <v>7</v>
      </c>
      <c r="B11" s="116" t="s">
        <v>91</v>
      </c>
      <c r="C11" s="116"/>
      <c r="D11" s="116"/>
      <c r="E11" s="116"/>
      <c r="F11" s="116"/>
      <c r="G11" s="117"/>
    </row>
    <row r="12" spans="1:7" ht="17" thickBot="1" x14ac:dyDescent="0.25">
      <c r="A12" s="118" t="s">
        <v>98</v>
      </c>
      <c r="B12" s="119"/>
      <c r="C12" s="119"/>
      <c r="D12" s="119"/>
      <c r="E12" s="119"/>
      <c r="F12" s="119"/>
      <c r="G12" s="120"/>
    </row>
    <row r="13" spans="1:7" x14ac:dyDescent="0.2">
      <c r="A13" s="121" t="s">
        <v>99</v>
      </c>
      <c r="B13" s="122"/>
      <c r="C13" s="122"/>
      <c r="D13" s="122"/>
      <c r="E13" s="122"/>
      <c r="F13" s="122"/>
      <c r="G13" s="122"/>
    </row>
    <row r="14" spans="1:7" x14ac:dyDescent="0.2">
      <c r="A14" s="123"/>
      <c r="B14" s="123"/>
      <c r="C14" s="123"/>
      <c r="D14" s="123"/>
      <c r="E14" s="123"/>
      <c r="F14" s="123"/>
      <c r="G14" s="123"/>
    </row>
    <row r="15" spans="1:7" x14ac:dyDescent="0.2">
      <c r="A15" s="123"/>
      <c r="B15" s="123"/>
      <c r="C15" s="123"/>
      <c r="D15" s="123"/>
      <c r="E15" s="123"/>
      <c r="F15" s="123"/>
      <c r="G15" s="123"/>
    </row>
    <row r="16" spans="1:7" x14ac:dyDescent="0.2">
      <c r="A16" s="123"/>
      <c r="B16" s="123"/>
      <c r="C16" s="123"/>
      <c r="D16" s="123"/>
      <c r="E16" s="123"/>
      <c r="F16" s="123"/>
      <c r="G16" s="123"/>
    </row>
    <row r="17" spans="1:7" x14ac:dyDescent="0.2">
      <c r="A17" s="123"/>
      <c r="B17" s="123"/>
      <c r="C17" s="123"/>
      <c r="D17" s="123"/>
      <c r="E17" s="123"/>
      <c r="F17" s="123"/>
      <c r="G17" s="123"/>
    </row>
    <row r="18" spans="1:7" x14ac:dyDescent="0.2">
      <c r="A18" s="123"/>
      <c r="B18" s="123"/>
      <c r="C18" s="123"/>
      <c r="D18" s="123"/>
      <c r="E18" s="123"/>
      <c r="F18" s="123"/>
      <c r="G18" s="123"/>
    </row>
  </sheetData>
  <mergeCells count="11">
    <mergeCell ref="B9:G9"/>
    <mergeCell ref="B10:G10"/>
    <mergeCell ref="B11:G11"/>
    <mergeCell ref="A12:G12"/>
    <mergeCell ref="A13:G18"/>
    <mergeCell ref="B8:G8"/>
    <mergeCell ref="A1:G3"/>
    <mergeCell ref="A4:G4"/>
    <mergeCell ref="B5:G5"/>
    <mergeCell ref="B6:G6"/>
    <mergeCell ref="B7:G7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41398A-A69D-A04E-8707-4B64A7D4DB0D}">
  <dimension ref="A1:G7"/>
  <sheetViews>
    <sheetView zoomScale="112" workbookViewId="0">
      <selection activeCell="B10" sqref="B10"/>
    </sheetView>
  </sheetViews>
  <sheetFormatPr baseColWidth="10" defaultRowHeight="16" x14ac:dyDescent="0.2"/>
  <cols>
    <col min="1" max="1" width="51" bestFit="1" customWidth="1"/>
    <col min="2" max="2" width="29.1640625" bestFit="1" customWidth="1"/>
    <col min="3" max="3" width="33.83203125" bestFit="1" customWidth="1"/>
    <col min="4" max="4" width="27.33203125" bestFit="1" customWidth="1"/>
    <col min="5" max="5" width="30.1640625" bestFit="1" customWidth="1"/>
    <col min="6" max="6" width="21.33203125" bestFit="1" customWidth="1"/>
    <col min="7" max="7" width="19.6640625" customWidth="1"/>
  </cols>
  <sheetData>
    <row r="1" spans="1:7" ht="53" customHeight="1" x14ac:dyDescent="0.2">
      <c r="A1" s="20"/>
      <c r="B1" s="20" t="s">
        <v>2</v>
      </c>
      <c r="C1" s="20" t="s">
        <v>3</v>
      </c>
      <c r="D1" s="20" t="s">
        <v>4</v>
      </c>
      <c r="E1" s="20" t="s">
        <v>5</v>
      </c>
      <c r="F1" s="20" t="s">
        <v>6</v>
      </c>
      <c r="G1" s="20" t="s">
        <v>7</v>
      </c>
    </row>
    <row r="2" spans="1:7" x14ac:dyDescent="0.2">
      <c r="A2" s="17" t="s">
        <v>2</v>
      </c>
      <c r="B2" s="21">
        <v>1</v>
      </c>
      <c r="C2" s="21"/>
      <c r="D2" s="21"/>
      <c r="E2" s="21"/>
      <c r="F2" s="21"/>
      <c r="G2" s="21"/>
    </row>
    <row r="3" spans="1:7" x14ac:dyDescent="0.2">
      <c r="A3" s="17" t="s">
        <v>3</v>
      </c>
      <c r="B3" s="22">
        <v>0.90396938375439639</v>
      </c>
      <c r="C3" s="22">
        <v>1</v>
      </c>
      <c r="D3" s="22"/>
      <c r="E3" s="22"/>
      <c r="F3" s="22"/>
      <c r="G3" s="21"/>
    </row>
    <row r="4" spans="1:7" x14ac:dyDescent="0.2">
      <c r="A4" s="17" t="s">
        <v>4</v>
      </c>
      <c r="B4" s="22">
        <v>0.13218395978249747</v>
      </c>
      <c r="C4" s="22">
        <v>7.5392325020911505E-2</v>
      </c>
      <c r="D4" s="22">
        <v>1</v>
      </c>
      <c r="E4" s="22"/>
      <c r="F4" s="22"/>
      <c r="G4" s="21"/>
    </row>
    <row r="5" spans="1:7" x14ac:dyDescent="0.2">
      <c r="A5" s="17" t="s">
        <v>5</v>
      </c>
      <c r="B5" s="22">
        <v>-2.2778506629191932E-2</v>
      </c>
      <c r="C5" s="22">
        <v>-4.1151764349611347E-2</v>
      </c>
      <c r="D5" s="22">
        <v>8.4406123907604894E-2</v>
      </c>
      <c r="E5" s="22">
        <v>1</v>
      </c>
      <c r="F5" s="22"/>
      <c r="G5" s="21"/>
    </row>
    <row r="6" spans="1:7" x14ac:dyDescent="0.2">
      <c r="A6" s="17" t="s">
        <v>6</v>
      </c>
      <c r="B6" s="22">
        <v>0.58979955780476223</v>
      </c>
      <c r="C6" s="22">
        <v>0.45204923029908251</v>
      </c>
      <c r="D6" s="22">
        <v>1.2249419903816856E-2</v>
      </c>
      <c r="E6" s="22">
        <v>-4.2770835254918205E-2</v>
      </c>
      <c r="F6" s="22">
        <v>1</v>
      </c>
      <c r="G6" s="21"/>
    </row>
    <row r="7" spans="1:7" ht="17" thickBot="1" x14ac:dyDescent="0.25">
      <c r="A7" s="18" t="s">
        <v>7</v>
      </c>
      <c r="B7" s="23">
        <v>0.39509176957971931</v>
      </c>
      <c r="C7" s="23">
        <v>0.34187652164574694</v>
      </c>
      <c r="D7" s="23">
        <v>6.1890852141704991E-2</v>
      </c>
      <c r="E7" s="23">
        <v>8.1260553201070979E-2</v>
      </c>
      <c r="F7" s="23">
        <v>0.21600781987974493</v>
      </c>
      <c r="G7" s="23">
        <v>1</v>
      </c>
    </row>
  </sheetData>
  <conditionalFormatting sqref="B2:G7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929DB0-21A3-5642-9B9B-465B4D9ACD97}">
  <dimension ref="A1:U195"/>
  <sheetViews>
    <sheetView topLeftCell="N13" zoomScale="231" workbookViewId="0">
      <selection activeCell="T17" sqref="T17:U23"/>
    </sheetView>
  </sheetViews>
  <sheetFormatPr baseColWidth="10" defaultRowHeight="16" x14ac:dyDescent="0.2"/>
  <cols>
    <col min="1" max="1" width="20.6640625" customWidth="1"/>
    <col min="2" max="2" width="15.6640625" customWidth="1"/>
    <col min="3" max="3" width="13.5" customWidth="1"/>
    <col min="5" max="5" width="24.83203125" bestFit="1" customWidth="1"/>
    <col min="6" max="6" width="16.33203125" bestFit="1" customWidth="1"/>
    <col min="7" max="7" width="21.5" bestFit="1" customWidth="1"/>
    <col min="8" max="8" width="19.5" bestFit="1" customWidth="1"/>
    <col min="9" max="9" width="14.6640625" customWidth="1"/>
    <col min="10" max="10" width="14.5" customWidth="1"/>
    <col min="11" max="11" width="13.5" customWidth="1"/>
    <col min="12" max="12" width="14.6640625" customWidth="1"/>
    <col min="13" max="13" width="16.1640625" customWidth="1"/>
    <col min="17" max="17" width="12" customWidth="1"/>
    <col min="19" max="19" width="17.83203125" customWidth="1"/>
  </cols>
  <sheetData>
    <row r="1" spans="1:12" ht="17" thickBot="1" x14ac:dyDescent="0.25">
      <c r="A1" s="24" t="s">
        <v>22</v>
      </c>
      <c r="B1" s="25" t="s">
        <v>23</v>
      </c>
      <c r="C1" s="25" t="s">
        <v>24</v>
      </c>
    </row>
    <row r="2" spans="1:12" x14ac:dyDescent="0.2">
      <c r="A2" s="46">
        <v>163139</v>
      </c>
      <c r="B2" s="47">
        <v>62643</v>
      </c>
      <c r="C2" s="47">
        <v>63293</v>
      </c>
      <c r="E2" t="s">
        <v>27</v>
      </c>
    </row>
    <row r="3" spans="1:12" ht="17" thickBot="1" x14ac:dyDescent="0.25">
      <c r="A3" s="46">
        <v>182664</v>
      </c>
      <c r="B3" s="47">
        <v>72704</v>
      </c>
      <c r="C3" s="47">
        <v>52978</v>
      </c>
      <c r="H3" s="92"/>
    </row>
    <row r="4" spans="1:12" x14ac:dyDescent="0.2">
      <c r="A4" s="46">
        <v>192261</v>
      </c>
      <c r="B4" s="47">
        <v>81669</v>
      </c>
      <c r="C4" s="47">
        <v>54020</v>
      </c>
      <c r="E4" s="26" t="s">
        <v>28</v>
      </c>
      <c r="F4" s="26"/>
    </row>
    <row r="5" spans="1:12" ht="17" thickBot="1" x14ac:dyDescent="0.25">
      <c r="A5" s="46">
        <v>198394</v>
      </c>
      <c r="B5" s="47">
        <v>87792</v>
      </c>
      <c r="C5" s="47">
        <v>71826</v>
      </c>
      <c r="E5" s="17" t="s">
        <v>29</v>
      </c>
      <c r="F5" s="17">
        <v>0.92650361258031522</v>
      </c>
    </row>
    <row r="6" spans="1:12" x14ac:dyDescent="0.2">
      <c r="A6" s="46">
        <v>230837</v>
      </c>
      <c r="B6" s="47">
        <v>106131</v>
      </c>
      <c r="C6" s="47">
        <v>87050</v>
      </c>
      <c r="E6" s="17" t="s">
        <v>30</v>
      </c>
      <c r="F6" s="17">
        <v>0.85840894412437485</v>
      </c>
      <c r="G6" s="67">
        <f>F6</f>
        <v>0.85840894412437485</v>
      </c>
      <c r="H6" s="126" t="s">
        <v>85</v>
      </c>
      <c r="I6" s="127"/>
      <c r="J6" s="127"/>
      <c r="K6" s="127"/>
      <c r="L6" s="128"/>
    </row>
    <row r="7" spans="1:12" ht="17" thickBot="1" x14ac:dyDescent="0.25">
      <c r="A7" s="46">
        <v>237094</v>
      </c>
      <c r="B7" s="47">
        <v>89359</v>
      </c>
      <c r="C7" s="47">
        <v>91321</v>
      </c>
      <c r="E7" s="17" t="s">
        <v>31</v>
      </c>
      <c r="F7" s="17">
        <v>0.85669268890163996</v>
      </c>
      <c r="H7" s="129"/>
      <c r="I7" s="130"/>
      <c r="J7" s="130"/>
      <c r="K7" s="130"/>
      <c r="L7" s="131"/>
    </row>
    <row r="8" spans="1:12" ht="17" thickBot="1" x14ac:dyDescent="0.25">
      <c r="A8" s="46">
        <v>243098</v>
      </c>
      <c r="B8" s="47">
        <v>106199</v>
      </c>
      <c r="C8" s="47">
        <v>95031</v>
      </c>
      <c r="E8" s="17" t="s">
        <v>32</v>
      </c>
      <c r="F8" s="17">
        <v>25889.343807798843</v>
      </c>
    </row>
    <row r="9" spans="1:12" s="40" customFormat="1" ht="26" customHeight="1" thickBot="1" x14ac:dyDescent="0.25">
      <c r="A9" s="38">
        <v>263853</v>
      </c>
      <c r="B9" s="39">
        <v>110381</v>
      </c>
      <c r="C9" s="39">
        <v>100551</v>
      </c>
      <c r="E9" s="41" t="s">
        <v>33</v>
      </c>
      <c r="F9" s="41">
        <v>168</v>
      </c>
      <c r="H9" s="153" t="s">
        <v>61</v>
      </c>
      <c r="I9" s="154"/>
      <c r="J9" s="154"/>
      <c r="K9" s="154"/>
      <c r="L9" s="155"/>
    </row>
    <row r="10" spans="1:12" ht="17" thickBot="1" x14ac:dyDescent="0.25">
      <c r="A10" s="46">
        <v>344889</v>
      </c>
      <c r="B10" s="47">
        <v>192377</v>
      </c>
      <c r="C10" s="47">
        <v>110988</v>
      </c>
      <c r="H10" s="28" t="s">
        <v>55</v>
      </c>
      <c r="I10" s="29">
        <f>_xlfn.F.INV.RT(0.05, F13,F14)</f>
        <v>3.0507870078877266</v>
      </c>
      <c r="J10" s="32" t="s">
        <v>57</v>
      </c>
      <c r="K10" s="30">
        <f>I13</f>
        <v>500.16392244767741</v>
      </c>
      <c r="L10" s="31" t="s">
        <v>56</v>
      </c>
    </row>
    <row r="11" spans="1:12" ht="17" thickBot="1" x14ac:dyDescent="0.25">
      <c r="A11" s="46">
        <v>308017</v>
      </c>
      <c r="B11" s="47">
        <v>137104</v>
      </c>
      <c r="C11" s="47">
        <v>110396</v>
      </c>
      <c r="E11" t="s">
        <v>34</v>
      </c>
    </row>
    <row r="12" spans="1:12" x14ac:dyDescent="0.2">
      <c r="A12" s="46">
        <v>336226</v>
      </c>
      <c r="B12" s="47">
        <v>137874</v>
      </c>
      <c r="C12" s="47">
        <v>91037</v>
      </c>
      <c r="E12" s="19"/>
      <c r="F12" s="19" t="s">
        <v>39</v>
      </c>
      <c r="G12" s="19" t="s">
        <v>40</v>
      </c>
      <c r="H12" s="19" t="s">
        <v>41</v>
      </c>
      <c r="I12" s="19" t="s">
        <v>42</v>
      </c>
      <c r="J12" s="19" t="s">
        <v>43</v>
      </c>
    </row>
    <row r="13" spans="1:12" x14ac:dyDescent="0.2">
      <c r="A13" s="46">
        <v>347671</v>
      </c>
      <c r="B13" s="47">
        <v>158034</v>
      </c>
      <c r="C13" s="47">
        <v>127609</v>
      </c>
      <c r="E13" s="17" t="s">
        <v>35</v>
      </c>
      <c r="F13" s="17">
        <v>2</v>
      </c>
      <c r="G13" s="17">
        <v>670477863502.54175</v>
      </c>
      <c r="H13" s="17">
        <v>335238931751.27087</v>
      </c>
      <c r="I13" s="17">
        <v>500.16392244767741</v>
      </c>
      <c r="J13" s="17">
        <v>9.1296721646033846E-71</v>
      </c>
    </row>
    <row r="14" spans="1:12" x14ac:dyDescent="0.2">
      <c r="A14" s="46">
        <v>185894</v>
      </c>
      <c r="B14" s="47">
        <v>119974</v>
      </c>
      <c r="C14" s="47">
        <v>64531</v>
      </c>
      <c r="E14" s="17" t="s">
        <v>36</v>
      </c>
      <c r="F14" s="17">
        <v>165</v>
      </c>
      <c r="G14" s="17">
        <v>110592590261.73801</v>
      </c>
      <c r="H14" s="17">
        <v>670258122.7984122</v>
      </c>
      <c r="I14" s="17"/>
      <c r="J14" s="17"/>
    </row>
    <row r="15" spans="1:12" ht="17" thickBot="1" x14ac:dyDescent="0.25">
      <c r="A15" s="46">
        <v>200502</v>
      </c>
      <c r="B15" s="47">
        <v>113680</v>
      </c>
      <c r="C15" s="47">
        <v>58025</v>
      </c>
      <c r="E15" s="18" t="s">
        <v>37</v>
      </c>
      <c r="F15" s="18">
        <v>167</v>
      </c>
      <c r="G15" s="18">
        <v>781070453764.27979</v>
      </c>
      <c r="H15" s="18"/>
      <c r="I15" s="18"/>
      <c r="J15" s="18"/>
    </row>
    <row r="16" spans="1:12" ht="17" thickBot="1" x14ac:dyDescent="0.25">
      <c r="A16" s="46">
        <v>203717</v>
      </c>
      <c r="B16" s="47">
        <v>108532</v>
      </c>
      <c r="C16" s="47">
        <v>68453</v>
      </c>
    </row>
    <row r="17" spans="1:21" ht="17" customHeight="1" thickBot="1" x14ac:dyDescent="0.25">
      <c r="A17" s="46">
        <v>232325</v>
      </c>
      <c r="B17" s="47">
        <v>121353</v>
      </c>
      <c r="C17" s="47">
        <v>62429</v>
      </c>
      <c r="E17" s="19"/>
      <c r="F17" s="19" t="s">
        <v>44</v>
      </c>
      <c r="G17" s="19" t="s">
        <v>32</v>
      </c>
      <c r="H17" s="19" t="s">
        <v>45</v>
      </c>
      <c r="I17" s="19" t="s">
        <v>46</v>
      </c>
      <c r="J17" s="19" t="s">
        <v>47</v>
      </c>
      <c r="K17" s="19" t="s">
        <v>48</v>
      </c>
      <c r="L17" s="19" t="s">
        <v>49</v>
      </c>
      <c r="M17" s="19" t="s">
        <v>50</v>
      </c>
      <c r="O17" s="132" t="s">
        <v>100</v>
      </c>
      <c r="P17" s="133"/>
      <c r="Q17" s="140" t="s">
        <v>101</v>
      </c>
      <c r="R17" s="140"/>
      <c r="S17" s="140"/>
      <c r="T17" s="134" t="s">
        <v>107</v>
      </c>
      <c r="U17" s="135"/>
    </row>
    <row r="18" spans="1:21" ht="17" thickBot="1" x14ac:dyDescent="0.25">
      <c r="A18" s="46">
        <v>226590</v>
      </c>
      <c r="B18" s="47">
        <v>114942</v>
      </c>
      <c r="C18" s="47">
        <v>70328</v>
      </c>
      <c r="E18" s="17" t="s">
        <v>38</v>
      </c>
      <c r="F18" s="17">
        <v>69224.746785799594</v>
      </c>
      <c r="G18" s="17">
        <v>5594.3621630659809</v>
      </c>
      <c r="H18" s="17">
        <v>12.374019551830568</v>
      </c>
      <c r="I18" s="17">
        <v>2.6769678911191506E-25</v>
      </c>
      <c r="J18" s="17">
        <v>58178.982859779804</v>
      </c>
      <c r="K18" s="17">
        <v>80270.510711819385</v>
      </c>
      <c r="L18" s="17">
        <v>58178.982859779804</v>
      </c>
      <c r="M18" s="17">
        <v>80270.510711819385</v>
      </c>
      <c r="T18" s="136"/>
      <c r="U18" s="137"/>
    </row>
    <row r="19" spans="1:21" ht="16" customHeight="1" x14ac:dyDescent="0.2">
      <c r="A19" s="46">
        <v>265320</v>
      </c>
      <c r="B19" s="47">
        <v>150227</v>
      </c>
      <c r="C19" s="47">
        <v>93121</v>
      </c>
      <c r="E19" s="17" t="s">
        <v>23</v>
      </c>
      <c r="F19" s="17">
        <v>1.3055219961254727</v>
      </c>
      <c r="G19" s="17">
        <v>5.3523306732130432E-2</v>
      </c>
      <c r="H19" s="17">
        <v>24.391654324708572</v>
      </c>
      <c r="I19" s="17">
        <v>1.3258765491105327E-56</v>
      </c>
      <c r="J19" s="17">
        <v>1.1998431370401237</v>
      </c>
      <c r="K19" s="17">
        <v>1.4112008552108217</v>
      </c>
      <c r="L19" s="17">
        <v>1.1998431370401237</v>
      </c>
      <c r="M19" s="17">
        <v>1.4112008552108217</v>
      </c>
      <c r="O19" s="141" t="s">
        <v>102</v>
      </c>
      <c r="P19" s="142"/>
      <c r="Q19" s="143"/>
      <c r="R19" s="134" t="s">
        <v>103</v>
      </c>
      <c r="S19" s="150"/>
      <c r="T19" s="136"/>
      <c r="U19" s="137"/>
    </row>
    <row r="20" spans="1:21" ht="17" thickBot="1" x14ac:dyDescent="0.25">
      <c r="A20" s="46">
        <v>271705</v>
      </c>
      <c r="B20" s="47">
        <v>152834</v>
      </c>
      <c r="C20" s="47">
        <v>67880</v>
      </c>
      <c r="E20" s="18" t="s">
        <v>24</v>
      </c>
      <c r="F20" s="18">
        <v>0.35171041702310951</v>
      </c>
      <c r="G20" s="18">
        <v>5.0729216681646164E-2</v>
      </c>
      <c r="H20" s="18">
        <v>6.9330937875561238</v>
      </c>
      <c r="I20" s="18">
        <v>8.852478109787578E-11</v>
      </c>
      <c r="J20" s="18">
        <v>0.25154833682802369</v>
      </c>
      <c r="K20" s="18">
        <v>0.45187249721819533</v>
      </c>
      <c r="L20" s="18">
        <v>0.25154833682802369</v>
      </c>
      <c r="M20" s="18">
        <v>0.45187249721819533</v>
      </c>
      <c r="O20" s="144"/>
      <c r="P20" s="145"/>
      <c r="Q20" s="146"/>
      <c r="R20" s="136"/>
      <c r="S20" s="151"/>
      <c r="T20" s="136"/>
      <c r="U20" s="137"/>
    </row>
    <row r="21" spans="1:21" ht="17" thickBot="1" x14ac:dyDescent="0.25">
      <c r="A21" s="46">
        <v>300139</v>
      </c>
      <c r="B21" s="47">
        <v>154299</v>
      </c>
      <c r="C21" s="47">
        <v>120034</v>
      </c>
      <c r="O21" s="144"/>
      <c r="P21" s="145"/>
      <c r="Q21" s="146"/>
      <c r="R21" s="136"/>
      <c r="S21" s="151"/>
      <c r="T21" s="136"/>
      <c r="U21" s="137"/>
    </row>
    <row r="22" spans="1:21" ht="17" thickBot="1" x14ac:dyDescent="0.25">
      <c r="A22" s="46">
        <v>345916</v>
      </c>
      <c r="B22" s="47">
        <v>196541</v>
      </c>
      <c r="C22" s="47">
        <v>136077</v>
      </c>
      <c r="I22" s="156" t="s">
        <v>67</v>
      </c>
      <c r="J22" s="157"/>
      <c r="K22" s="157"/>
      <c r="L22" s="157"/>
      <c r="M22" s="158"/>
      <c r="O22" s="144"/>
      <c r="P22" s="145"/>
      <c r="Q22" s="146"/>
      <c r="R22" s="136"/>
      <c r="S22" s="151"/>
      <c r="T22" s="136"/>
      <c r="U22" s="137"/>
    </row>
    <row r="23" spans="1:21" ht="17" thickBot="1" x14ac:dyDescent="0.25">
      <c r="A23" s="46">
        <v>330615</v>
      </c>
      <c r="B23" s="47">
        <v>187838</v>
      </c>
      <c r="C23" s="47">
        <v>105521</v>
      </c>
      <c r="H23" s="44" t="s">
        <v>23</v>
      </c>
      <c r="I23" s="33" t="s">
        <v>58</v>
      </c>
      <c r="J23" s="34">
        <f>H19</f>
        <v>24.391654324708572</v>
      </c>
      <c r="K23" s="42" t="s">
        <v>60</v>
      </c>
      <c r="L23" s="35">
        <f>_xlfn.T.INV.2T(0.05, F15)</f>
        <v>1.9742709570280526</v>
      </c>
      <c r="M23" s="36" t="s">
        <v>59</v>
      </c>
      <c r="O23" s="147"/>
      <c r="P23" s="148"/>
      <c r="Q23" s="149"/>
      <c r="R23" s="138"/>
      <c r="S23" s="152"/>
      <c r="T23" s="138"/>
      <c r="U23" s="139"/>
    </row>
    <row r="24" spans="1:21" ht="17" thickBot="1" x14ac:dyDescent="0.25">
      <c r="A24" s="46">
        <v>400393</v>
      </c>
      <c r="B24" s="47">
        <v>221856</v>
      </c>
      <c r="C24" s="47">
        <v>190033</v>
      </c>
      <c r="E24" t="s">
        <v>51</v>
      </c>
      <c r="H24" s="72" t="s">
        <v>24</v>
      </c>
      <c r="I24" s="71" t="s">
        <v>58</v>
      </c>
      <c r="J24" s="37">
        <f>H20</f>
        <v>6.9330937875561238</v>
      </c>
      <c r="K24" s="43" t="s">
        <v>60</v>
      </c>
      <c r="L24" s="35">
        <f>_xlfn.T.INV.2T(0.05, F15)</f>
        <v>1.9742709570280526</v>
      </c>
      <c r="M24" s="36" t="s">
        <v>59</v>
      </c>
    </row>
    <row r="25" spans="1:21" ht="17" thickBot="1" x14ac:dyDescent="0.25">
      <c r="A25" s="46">
        <v>372222</v>
      </c>
      <c r="B25" s="47">
        <v>186830</v>
      </c>
      <c r="C25" s="47">
        <v>117333</v>
      </c>
      <c r="H25" s="69"/>
    </row>
    <row r="26" spans="1:21" x14ac:dyDescent="0.2">
      <c r="A26" s="46">
        <v>123659</v>
      </c>
      <c r="B26" s="47">
        <v>52098</v>
      </c>
      <c r="C26" s="47">
        <v>16384</v>
      </c>
      <c r="E26" s="19" t="s">
        <v>52</v>
      </c>
      <c r="F26" s="19" t="s">
        <v>53</v>
      </c>
      <c r="G26" s="19" t="s">
        <v>54</v>
      </c>
      <c r="H26" s="70" t="s">
        <v>64</v>
      </c>
      <c r="J26" s="96"/>
    </row>
    <row r="27" spans="1:21" x14ac:dyDescent="0.2">
      <c r="A27" s="46">
        <v>113761</v>
      </c>
      <c r="B27" s="47">
        <v>55375</v>
      </c>
      <c r="C27" s="47">
        <v>14200</v>
      </c>
      <c r="E27" s="17">
        <v>1</v>
      </c>
      <c r="F27" s="17">
        <v>173267.36861373123</v>
      </c>
      <c r="G27" s="17">
        <v>-10128.368613731232</v>
      </c>
      <c r="H27" s="68">
        <f>ABS((A2-F27)/A2)*100</f>
        <v>6.2084287716188236</v>
      </c>
    </row>
    <row r="28" spans="1:21" x14ac:dyDescent="0.2">
      <c r="A28" s="46">
        <v>154926</v>
      </c>
      <c r="B28" s="47">
        <v>65737</v>
      </c>
      <c r="C28" s="47">
        <v>19886</v>
      </c>
      <c r="E28" s="17">
        <v>2</v>
      </c>
      <c r="F28" s="17">
        <v>182774.33246515624</v>
      </c>
      <c r="G28" s="17">
        <v>-110.33246515624342</v>
      </c>
      <c r="H28" s="68">
        <f t="shared" ref="H28:H91" si="0">ABS((A3-F28)/A3)*100</f>
        <v>6.0401866353656665E-2</v>
      </c>
    </row>
    <row r="29" spans="1:21" x14ac:dyDescent="0.2">
      <c r="A29" s="46">
        <v>161262</v>
      </c>
      <c r="B29" s="47">
        <v>86686</v>
      </c>
      <c r="C29" s="47">
        <v>16536</v>
      </c>
      <c r="E29" s="17">
        <v>3</v>
      </c>
      <c r="F29" s="17">
        <v>194844.8194149592</v>
      </c>
      <c r="G29" s="17">
        <v>-2583.8194149592018</v>
      </c>
      <c r="H29" s="68">
        <f t="shared" si="0"/>
        <v>1.3439123977089487</v>
      </c>
    </row>
    <row r="30" spans="1:21" x14ac:dyDescent="0.2">
      <c r="A30" s="46">
        <v>174894</v>
      </c>
      <c r="B30" s="47">
        <v>72903</v>
      </c>
      <c r="C30" s="47">
        <v>22776</v>
      </c>
      <c r="E30" s="17">
        <v>4</v>
      </c>
      <c r="F30" s="17">
        <v>209101.08628274896</v>
      </c>
      <c r="G30" s="17">
        <v>-10707.086282748962</v>
      </c>
      <c r="H30" s="68">
        <f t="shared" si="0"/>
        <v>5.3968800884850152</v>
      </c>
    </row>
    <row r="31" spans="1:21" x14ac:dyDescent="0.2">
      <c r="A31" s="46">
        <v>183623</v>
      </c>
      <c r="B31" s="47">
        <v>79308</v>
      </c>
      <c r="C31" s="47">
        <v>21066</v>
      </c>
      <c r="E31" s="17">
        <v>5</v>
      </c>
      <c r="F31" s="17">
        <v>238397.4935584538</v>
      </c>
      <c r="G31" s="17">
        <v>-7560.4935584538034</v>
      </c>
      <c r="H31" s="68">
        <f t="shared" si="0"/>
        <v>3.2752520429800267</v>
      </c>
    </row>
    <row r="32" spans="1:21" x14ac:dyDescent="0.2">
      <c r="A32" s="46">
        <v>213288</v>
      </c>
      <c r="B32" s="47">
        <v>113814</v>
      </c>
      <c r="C32" s="47">
        <v>21783</v>
      </c>
      <c r="E32" s="17">
        <v>6</v>
      </c>
      <c r="F32" s="17">
        <v>218003.43383054307</v>
      </c>
      <c r="G32" s="17">
        <v>19090.566169456928</v>
      </c>
      <c r="H32" s="68">
        <f t="shared" si="0"/>
        <v>8.0518976310901706</v>
      </c>
    </row>
    <row r="33" spans="1:8" x14ac:dyDescent="0.2">
      <c r="A33" s="46">
        <v>206164</v>
      </c>
      <c r="B33" s="47">
        <v>117073</v>
      </c>
      <c r="C33" s="47">
        <v>29029</v>
      </c>
      <c r="E33" s="17">
        <v>7</v>
      </c>
      <c r="F33" s="17">
        <v>241293.26989245179</v>
      </c>
      <c r="G33" s="17">
        <v>1804.7301075482101</v>
      </c>
      <c r="H33" s="68">
        <f t="shared" si="0"/>
        <v>0.74238788782639509</v>
      </c>
    </row>
    <row r="34" spans="1:8" x14ac:dyDescent="0.2">
      <c r="A34" s="46">
        <v>233620</v>
      </c>
      <c r="B34" s="47">
        <v>127428</v>
      </c>
      <c r="C34" s="47">
        <v>22722</v>
      </c>
      <c r="E34" s="17">
        <v>8</v>
      </c>
      <c r="F34" s="17">
        <v>248694.4043822161</v>
      </c>
      <c r="G34" s="17">
        <v>15158.595617783896</v>
      </c>
      <c r="H34" s="68">
        <f t="shared" si="0"/>
        <v>5.7450912507282066</v>
      </c>
    </row>
    <row r="35" spans="1:8" x14ac:dyDescent="0.2">
      <c r="A35" s="46">
        <v>245279</v>
      </c>
      <c r="B35" s="47">
        <v>125317</v>
      </c>
      <c r="C35" s="47">
        <v>33385</v>
      </c>
      <c r="E35" s="17">
        <v>9</v>
      </c>
      <c r="F35" s="17">
        <v>359412.78759899054</v>
      </c>
      <c r="G35" s="17">
        <v>-14523.787598990544</v>
      </c>
      <c r="H35" s="68">
        <f t="shared" si="0"/>
        <v>4.2111483981775422</v>
      </c>
    </row>
    <row r="36" spans="1:8" x14ac:dyDescent="0.2">
      <c r="A36" s="46">
        <v>269762</v>
      </c>
      <c r="B36" s="47">
        <v>139440</v>
      </c>
      <c r="C36" s="47">
        <v>38462</v>
      </c>
      <c r="E36" s="17">
        <v>10</v>
      </c>
      <c r="F36" s="17">
        <v>287044.4577402696</v>
      </c>
      <c r="G36" s="17">
        <v>20972.542259730399</v>
      </c>
      <c r="H36" s="68">
        <f t="shared" si="0"/>
        <v>6.8088911520242057</v>
      </c>
    </row>
    <row r="37" spans="1:8" x14ac:dyDescent="0.2">
      <c r="A37" s="46">
        <v>278556</v>
      </c>
      <c r="B37" s="47">
        <v>136570</v>
      </c>
      <c r="C37" s="47">
        <v>30983</v>
      </c>
      <c r="E37" s="17">
        <v>11</v>
      </c>
      <c r="F37" s="17">
        <v>281240.94771413581</v>
      </c>
      <c r="G37" s="17">
        <v>54985.052285864193</v>
      </c>
      <c r="H37" s="68">
        <f t="shared" si="0"/>
        <v>16.353599152315464</v>
      </c>
    </row>
    <row r="38" spans="1:8" x14ac:dyDescent="0.2">
      <c r="A38" s="46">
        <v>142355</v>
      </c>
      <c r="B38" s="47">
        <v>63811</v>
      </c>
      <c r="C38" s="47">
        <v>23574</v>
      </c>
      <c r="E38" s="17">
        <v>12</v>
      </c>
      <c r="F38" s="17">
        <v>320423.0245273945</v>
      </c>
      <c r="G38" s="17">
        <v>27247.975472605496</v>
      </c>
      <c r="H38" s="68">
        <f t="shared" si="0"/>
        <v>7.8372873988930616</v>
      </c>
    </row>
    <row r="39" spans="1:8" x14ac:dyDescent="0.2">
      <c r="A39" s="46">
        <v>154696</v>
      </c>
      <c r="B39" s="47">
        <v>70223</v>
      </c>
      <c r="C39" s="47">
        <v>29613</v>
      </c>
      <c r="E39" s="17">
        <v>13</v>
      </c>
      <c r="F39" s="17">
        <v>248549.66766987534</v>
      </c>
      <c r="G39" s="17">
        <v>-62655.667669875344</v>
      </c>
      <c r="H39" s="68">
        <f t="shared" si="0"/>
        <v>33.705051088187538</v>
      </c>
    </row>
    <row r="40" spans="1:8" x14ac:dyDescent="0.2">
      <c r="A40" s="46">
        <v>186505</v>
      </c>
      <c r="B40" s="47">
        <v>70333</v>
      </c>
      <c r="C40" s="47">
        <v>42927</v>
      </c>
      <c r="E40" s="17">
        <v>14</v>
      </c>
      <c r="F40" s="17">
        <v>238044.48425310926</v>
      </c>
      <c r="G40" s="17">
        <v>-37542.484253109258</v>
      </c>
      <c r="H40" s="68">
        <f t="shared" si="0"/>
        <v>18.724244273428322</v>
      </c>
    </row>
    <row r="41" spans="1:8" x14ac:dyDescent="0.2">
      <c r="A41" s="46">
        <v>223835</v>
      </c>
      <c r="B41" s="47">
        <v>119621</v>
      </c>
      <c r="C41" s="47">
        <v>40576</v>
      </c>
      <c r="E41" s="17">
        <v>15</v>
      </c>
      <c r="F41" s="17">
        <v>234991.29324577231</v>
      </c>
      <c r="G41" s="17">
        <v>-31274.293245772307</v>
      </c>
      <c r="H41" s="68">
        <f t="shared" si="0"/>
        <v>15.351832810110256</v>
      </c>
    </row>
    <row r="42" spans="1:8" x14ac:dyDescent="0.2">
      <c r="A42" s="46">
        <v>234479</v>
      </c>
      <c r="B42" s="47">
        <v>138396</v>
      </c>
      <c r="C42" s="47">
        <v>32570</v>
      </c>
      <c r="E42" s="17">
        <v>16</v>
      </c>
      <c r="F42" s="17">
        <v>249610.68720594977</v>
      </c>
      <c r="G42" s="17">
        <v>-17285.687205949769</v>
      </c>
      <c r="H42" s="68">
        <f t="shared" si="0"/>
        <v>7.4403044037231334</v>
      </c>
    </row>
    <row r="43" spans="1:8" x14ac:dyDescent="0.2">
      <c r="A43" s="46">
        <v>217047</v>
      </c>
      <c r="B43" s="47">
        <v>104147</v>
      </c>
      <c r="C43" s="47">
        <v>44798</v>
      </c>
      <c r="E43" s="17">
        <v>17</v>
      </c>
      <c r="F43" s="17">
        <v>244019.14627285491</v>
      </c>
      <c r="G43" s="17">
        <v>-17429.146272854909</v>
      </c>
      <c r="H43" s="68">
        <f t="shared" si="0"/>
        <v>7.6919309205414663</v>
      </c>
    </row>
    <row r="44" spans="1:8" x14ac:dyDescent="0.2">
      <c r="A44" s="46">
        <v>256363</v>
      </c>
      <c r="B44" s="47">
        <v>109978</v>
      </c>
      <c r="C44" s="47">
        <v>38093</v>
      </c>
      <c r="E44" s="17">
        <v>18</v>
      </c>
      <c r="F44" s="17">
        <v>298101.02544134995</v>
      </c>
      <c r="G44" s="17">
        <v>-32781.02544134995</v>
      </c>
      <c r="H44" s="68">
        <f t="shared" si="0"/>
        <v>12.355278697930782</v>
      </c>
    </row>
    <row r="45" spans="1:8" x14ac:dyDescent="0.2">
      <c r="A45" s="46">
        <v>256302</v>
      </c>
      <c r="B45" s="47">
        <v>138871</v>
      </c>
      <c r="C45" s="47">
        <v>37533</v>
      </c>
      <c r="E45" s="17">
        <v>19</v>
      </c>
      <c r="F45" s="17">
        <v>292626.99864916876</v>
      </c>
      <c r="G45" s="17">
        <v>-20921.99864916876</v>
      </c>
      <c r="H45" s="68">
        <f t="shared" si="0"/>
        <v>7.7002626558836829</v>
      </c>
    </row>
    <row r="46" spans="1:8" x14ac:dyDescent="0.2">
      <c r="A46" s="46">
        <v>271987</v>
      </c>
      <c r="B46" s="47">
        <v>135912</v>
      </c>
      <c r="C46" s="47">
        <v>44092</v>
      </c>
      <c r="E46" s="17">
        <v>20</v>
      </c>
      <c r="F46" s="17">
        <v>312882.69346291589</v>
      </c>
      <c r="G46" s="17">
        <v>-12743.693462915893</v>
      </c>
      <c r="H46" s="68">
        <f t="shared" si="0"/>
        <v>4.2459305398218472</v>
      </c>
    </row>
    <row r="47" spans="1:8" x14ac:dyDescent="0.2">
      <c r="A47" s="46">
        <v>302538</v>
      </c>
      <c r="B47" s="47">
        <v>160657</v>
      </c>
      <c r="C47" s="47">
        <v>63175</v>
      </c>
      <c r="E47" s="17">
        <v>21</v>
      </c>
      <c r="F47" s="17">
        <v>373673.04384354979</v>
      </c>
      <c r="G47" s="17">
        <v>-27757.043843549793</v>
      </c>
      <c r="H47" s="68">
        <f t="shared" si="0"/>
        <v>8.0242150821441598</v>
      </c>
    </row>
    <row r="48" spans="1:8" x14ac:dyDescent="0.2">
      <c r="A48" s="46">
        <v>322686</v>
      </c>
      <c r="B48" s="47">
        <v>152937</v>
      </c>
      <c r="C48" s="47">
        <v>76327</v>
      </c>
      <c r="E48" s="17">
        <v>22</v>
      </c>
      <c r="F48" s="17">
        <v>351564.22240871168</v>
      </c>
      <c r="G48" s="17">
        <v>-20949.222408711677</v>
      </c>
      <c r="H48" s="68">
        <f t="shared" si="0"/>
        <v>6.3364403940267922</v>
      </c>
    </row>
    <row r="49" spans="1:8" x14ac:dyDescent="0.2">
      <c r="A49" s="46">
        <v>343335</v>
      </c>
      <c r="B49" s="47">
        <v>177961</v>
      </c>
      <c r="C49" s="47">
        <v>80694</v>
      </c>
      <c r="E49" s="17">
        <v>23</v>
      </c>
      <c r="F49" s="17">
        <v>425699.22043636505</v>
      </c>
      <c r="G49" s="17">
        <v>-25306.220436365053</v>
      </c>
      <c r="H49" s="68">
        <f t="shared" si="0"/>
        <v>6.3203453697654695</v>
      </c>
    </row>
    <row r="50" spans="1:8" x14ac:dyDescent="0.2">
      <c r="A50" s="46">
        <v>144914</v>
      </c>
      <c r="B50" s="47">
        <v>63378</v>
      </c>
      <c r="C50" s="47">
        <v>33427</v>
      </c>
      <c r="E50" s="17">
        <v>24</v>
      </c>
      <c r="F50" s="17">
        <v>354402.65968249412</v>
      </c>
      <c r="G50" s="17">
        <v>17819.340317505877</v>
      </c>
      <c r="H50" s="68">
        <f t="shared" si="0"/>
        <v>4.7872883165169915</v>
      </c>
    </row>
    <row r="51" spans="1:8" x14ac:dyDescent="0.2">
      <c r="A51" s="46">
        <v>171308</v>
      </c>
      <c r="B51" s="47">
        <v>73180</v>
      </c>
      <c r="C51" s="47">
        <v>67522</v>
      </c>
      <c r="E51" s="17">
        <v>25</v>
      </c>
      <c r="F51" s="17">
        <v>143002.2552124511</v>
      </c>
      <c r="G51" s="17">
        <v>-19343.255212451098</v>
      </c>
      <c r="H51" s="68">
        <f t="shared" si="0"/>
        <v>15.642416008904405</v>
      </c>
    </row>
    <row r="52" spans="1:8" x14ac:dyDescent="0.2">
      <c r="A52" s="46">
        <v>184799</v>
      </c>
      <c r="B52" s="47">
        <v>70482</v>
      </c>
      <c r="C52" s="47">
        <v>58949</v>
      </c>
      <c r="E52" s="17">
        <v>26</v>
      </c>
      <c r="F52" s="17">
        <v>146512.3152429758</v>
      </c>
      <c r="G52" s="17">
        <v>-32751.315242975805</v>
      </c>
      <c r="H52" s="68">
        <f t="shared" si="0"/>
        <v>28.789581001376398</v>
      </c>
    </row>
    <row r="53" spans="1:8" x14ac:dyDescent="0.2">
      <c r="A53" s="46">
        <v>185538</v>
      </c>
      <c r="B53" s="47">
        <v>74813</v>
      </c>
      <c r="C53" s="47">
        <v>41794</v>
      </c>
      <c r="E53" s="17">
        <v>27</v>
      </c>
      <c r="F53" s="17">
        <v>162039.95959802135</v>
      </c>
      <c r="G53" s="17">
        <v>-7113.9595980213489</v>
      </c>
      <c r="H53" s="68">
        <f t="shared" si="0"/>
        <v>4.5918435885657338</v>
      </c>
    </row>
    <row r="54" spans="1:8" x14ac:dyDescent="0.2">
      <c r="A54" s="46">
        <v>195620</v>
      </c>
      <c r="B54" s="47">
        <v>72402</v>
      </c>
      <c r="C54" s="47">
        <v>47759</v>
      </c>
      <c r="E54" s="17">
        <v>28</v>
      </c>
      <c r="F54" s="17">
        <v>188211.10999782645</v>
      </c>
      <c r="G54" s="17">
        <v>-26949.109997826454</v>
      </c>
      <c r="H54" s="68">
        <f t="shared" si="0"/>
        <v>16.711382717457589</v>
      </c>
    </row>
    <row r="55" spans="1:8" x14ac:dyDescent="0.2">
      <c r="A55" s="46">
        <v>217669</v>
      </c>
      <c r="B55" s="47">
        <v>101090</v>
      </c>
      <c r="C55" s="47">
        <v>56965</v>
      </c>
      <c r="E55" s="17">
        <v>29</v>
      </c>
      <c r="F55" s="17">
        <v>172411.77332745327</v>
      </c>
      <c r="G55" s="17">
        <v>2482.2266725467343</v>
      </c>
      <c r="H55" s="68">
        <f t="shared" si="0"/>
        <v>1.4192749165475855</v>
      </c>
    </row>
    <row r="56" spans="1:8" x14ac:dyDescent="0.2">
      <c r="A56" s="46">
        <v>246482</v>
      </c>
      <c r="B56" s="47">
        <v>92636</v>
      </c>
      <c r="C56" s="47">
        <v>61449</v>
      </c>
      <c r="E56" s="17">
        <v>30</v>
      </c>
      <c r="F56" s="17">
        <v>180172.21689952741</v>
      </c>
      <c r="G56" s="17">
        <v>3450.7831004725886</v>
      </c>
      <c r="H56" s="68">
        <f t="shared" si="0"/>
        <v>1.879276071337789</v>
      </c>
    </row>
    <row r="57" spans="1:8" x14ac:dyDescent="0.2">
      <c r="A57" s="46">
        <v>240849</v>
      </c>
      <c r="B57" s="47">
        <v>97965</v>
      </c>
      <c r="C57" s="47">
        <v>57358</v>
      </c>
      <c r="E57" s="17">
        <v>31</v>
      </c>
      <c r="F57" s="17">
        <v>225472.73526683854</v>
      </c>
      <c r="G57" s="17">
        <v>-12184.735266838543</v>
      </c>
      <c r="H57" s="68">
        <f t="shared" si="0"/>
        <v>5.7128086281640522</v>
      </c>
    </row>
    <row r="58" spans="1:8" x14ac:dyDescent="0.2">
      <c r="A58" s="46">
        <v>278480</v>
      </c>
      <c r="B58" s="47">
        <v>125383</v>
      </c>
      <c r="C58" s="47">
        <v>46793</v>
      </c>
      <c r="E58" s="17">
        <v>32</v>
      </c>
      <c r="F58" s="17">
        <v>232275.9251339609</v>
      </c>
      <c r="G58" s="17">
        <v>-26111.925133960904</v>
      </c>
      <c r="H58" s="68">
        <f t="shared" si="0"/>
        <v>12.665608512621459</v>
      </c>
    </row>
    <row r="59" spans="1:8" x14ac:dyDescent="0.2">
      <c r="A59" s="46">
        <v>300929</v>
      </c>
      <c r="B59" s="47">
        <v>131954</v>
      </c>
      <c r="C59" s="47">
        <v>77867</v>
      </c>
      <c r="E59" s="17">
        <v>33</v>
      </c>
      <c r="F59" s="17">
        <v>243576.36780367541</v>
      </c>
      <c r="G59" s="17">
        <v>-9956.3678036754136</v>
      </c>
      <c r="H59" s="68">
        <f t="shared" si="0"/>
        <v>4.2617788732451904</v>
      </c>
    </row>
    <row r="60" spans="1:8" x14ac:dyDescent="0.2">
      <c r="A60" s="46">
        <v>315360</v>
      </c>
      <c r="B60" s="47">
        <v>97451</v>
      </c>
      <c r="C60" s="47">
        <v>109178</v>
      </c>
      <c r="E60" s="17">
        <v>34</v>
      </c>
      <c r="F60" s="17">
        <v>244570.69904657197</v>
      </c>
      <c r="G60" s="17">
        <v>708.30095342802815</v>
      </c>
      <c r="H60" s="68">
        <f t="shared" si="0"/>
        <v>0.28877358168780376</v>
      </c>
    </row>
    <row r="61" spans="1:8" x14ac:dyDescent="0.2">
      <c r="A61" s="46">
        <v>351614</v>
      </c>
      <c r="B61" s="47">
        <v>165659</v>
      </c>
      <c r="C61" s="47">
        <v>99001</v>
      </c>
      <c r="E61" s="17">
        <v>35</v>
      </c>
      <c r="F61" s="17">
        <v>264794.21998507838</v>
      </c>
      <c r="G61" s="17">
        <v>4967.78001492162</v>
      </c>
      <c r="H61" s="68">
        <f t="shared" si="0"/>
        <v>1.8415418090470932</v>
      </c>
    </row>
    <row r="62" spans="1:8" x14ac:dyDescent="0.2">
      <c r="A62" s="46">
        <v>152011</v>
      </c>
      <c r="B62" s="47">
        <v>83495</v>
      </c>
      <c r="C62" s="47">
        <v>40446</v>
      </c>
      <c r="E62" s="17">
        <v>36</v>
      </c>
      <c r="F62" s="17">
        <v>258416.92964728241</v>
      </c>
      <c r="G62" s="17">
        <v>20139.070352717594</v>
      </c>
      <c r="H62" s="68">
        <f t="shared" si="0"/>
        <v>7.2298102904685564</v>
      </c>
    </row>
    <row r="63" spans="1:8" x14ac:dyDescent="0.2">
      <c r="A63" s="46">
        <v>151229</v>
      </c>
      <c r="B63" s="47">
        <v>62852</v>
      </c>
      <c r="C63" s="47">
        <v>37155</v>
      </c>
      <c r="E63" s="17">
        <v>37</v>
      </c>
      <c r="F63" s="17">
        <v>160822.63225146494</v>
      </c>
      <c r="G63" s="17">
        <v>-18467.632251464936</v>
      </c>
      <c r="H63" s="68">
        <f t="shared" si="0"/>
        <v>12.9729424688033</v>
      </c>
    </row>
    <row r="64" spans="1:8" x14ac:dyDescent="0.2">
      <c r="A64" s="46">
        <v>180179</v>
      </c>
      <c r="B64" s="47">
        <v>72703</v>
      </c>
      <c r="C64" s="47">
        <v>45781</v>
      </c>
      <c r="E64" s="17">
        <v>38</v>
      </c>
      <c r="F64" s="17">
        <v>171317.61849902401</v>
      </c>
      <c r="G64" s="17">
        <v>-16621.618499024014</v>
      </c>
      <c r="H64" s="68">
        <f t="shared" si="0"/>
        <v>10.744698310896219</v>
      </c>
    </row>
    <row r="65" spans="1:8" x14ac:dyDescent="0.2">
      <c r="A65" s="46">
        <v>185509</v>
      </c>
      <c r="B65" s="47">
        <v>85443</v>
      </c>
      <c r="C65" s="47">
        <v>42122</v>
      </c>
      <c r="E65" s="17">
        <v>39</v>
      </c>
      <c r="F65" s="17">
        <v>176143.89841084351</v>
      </c>
      <c r="G65" s="17">
        <v>10361.101589156489</v>
      </c>
      <c r="H65" s="68">
        <f t="shared" si="0"/>
        <v>5.5554015115715334</v>
      </c>
    </row>
    <row r="66" spans="1:8" x14ac:dyDescent="0.2">
      <c r="A66" s="46">
        <v>204249</v>
      </c>
      <c r="B66" s="47">
        <v>88286</v>
      </c>
      <c r="C66" s="47">
        <v>51740</v>
      </c>
      <c r="E66" s="17">
        <v>40</v>
      </c>
      <c r="F66" s="17">
        <v>239663.59536545444</v>
      </c>
      <c r="G66" s="17">
        <v>-15828.595365454443</v>
      </c>
      <c r="H66" s="68">
        <f t="shared" si="0"/>
        <v>7.0715461681392284</v>
      </c>
    </row>
    <row r="67" spans="1:8" x14ac:dyDescent="0.2">
      <c r="A67" s="46">
        <v>226004</v>
      </c>
      <c r="B67" s="47">
        <v>114134</v>
      </c>
      <c r="C67" s="47">
        <v>73622</v>
      </c>
      <c r="E67" s="17">
        <v>41</v>
      </c>
      <c r="F67" s="17">
        <v>261358.9772440232</v>
      </c>
      <c r="G67" s="17">
        <v>-26879.977244023205</v>
      </c>
      <c r="H67" s="68">
        <f t="shared" si="0"/>
        <v>11.46370346343306</v>
      </c>
    </row>
    <row r="68" spans="1:8" x14ac:dyDescent="0.2">
      <c r="A68" s="46">
        <v>213034</v>
      </c>
      <c r="B68" s="47">
        <v>98764</v>
      </c>
      <c r="C68" s="47">
        <v>54394</v>
      </c>
      <c r="E68" s="17">
        <v>42</v>
      </c>
      <c r="F68" s="17">
        <v>220946.86937808045</v>
      </c>
      <c r="G68" s="17">
        <v>-3899.869378080446</v>
      </c>
      <c r="H68" s="68">
        <f t="shared" si="0"/>
        <v>1.796785663050144</v>
      </c>
    </row>
    <row r="69" spans="1:8" x14ac:dyDescent="0.2">
      <c r="A69" s="46">
        <v>264981</v>
      </c>
      <c r="B69" s="47">
        <v>113353</v>
      </c>
      <c r="C69" s="47">
        <v>72798</v>
      </c>
      <c r="E69" s="17">
        <v>43</v>
      </c>
      <c r="F69" s="17">
        <v>226201.14979134814</v>
      </c>
      <c r="G69" s="17">
        <v>30161.850208651857</v>
      </c>
      <c r="H69" s="68">
        <f t="shared" si="0"/>
        <v>11.765289924307273</v>
      </c>
    </row>
    <row r="70" spans="1:8" x14ac:dyDescent="0.2">
      <c r="A70" s="46">
        <v>256137</v>
      </c>
      <c r="B70" s="47">
        <v>108532</v>
      </c>
      <c r="C70" s="47">
        <v>73286</v>
      </c>
      <c r="E70" s="17">
        <v>44</v>
      </c>
      <c r="F70" s="17">
        <v>263724.63899186847</v>
      </c>
      <c r="G70" s="17">
        <v>-7422.6389918684727</v>
      </c>
      <c r="H70" s="68">
        <f t="shared" si="0"/>
        <v>2.8960519199493069</v>
      </c>
    </row>
    <row r="71" spans="1:8" x14ac:dyDescent="0.2">
      <c r="A71" s="46">
        <v>311862</v>
      </c>
      <c r="B71" s="47">
        <v>157646</v>
      </c>
      <c r="C71" s="47">
        <v>90050</v>
      </c>
      <c r="E71" s="17">
        <v>45</v>
      </c>
      <c r="F71" s="17">
        <v>262168.46803058777</v>
      </c>
      <c r="G71" s="17">
        <v>9818.53196941223</v>
      </c>
      <c r="H71" s="68">
        <f t="shared" si="0"/>
        <v>3.609926933791773</v>
      </c>
    </row>
    <row r="72" spans="1:8" x14ac:dyDescent="0.2">
      <c r="A72" s="46">
        <v>297376</v>
      </c>
      <c r="B72" s="47">
        <v>129343</v>
      </c>
      <c r="C72" s="47">
        <v>78306</v>
      </c>
      <c r="E72" s="17">
        <v>46</v>
      </c>
      <c r="F72" s="17">
        <v>301185.29971276462</v>
      </c>
      <c r="G72" s="17">
        <v>1352.7002872353769</v>
      </c>
      <c r="H72" s="68">
        <f t="shared" si="0"/>
        <v>0.44711748184868577</v>
      </c>
    </row>
    <row r="73" spans="1:8" x14ac:dyDescent="0.2">
      <c r="A73" s="46">
        <v>351321</v>
      </c>
      <c r="B73" s="47">
        <v>156617</v>
      </c>
      <c r="C73" s="47">
        <v>152751</v>
      </c>
      <c r="E73" s="17">
        <v>47</v>
      </c>
      <c r="F73" s="17">
        <v>295732.36530736391</v>
      </c>
      <c r="G73" s="17">
        <v>26953.634692636086</v>
      </c>
      <c r="H73" s="68">
        <f t="shared" si="0"/>
        <v>8.3528986980024182</v>
      </c>
    </row>
    <row r="74" spans="1:8" x14ac:dyDescent="0.2">
      <c r="A74" s="46">
        <v>166750</v>
      </c>
      <c r="B74" s="47">
        <v>58604</v>
      </c>
      <c r="C74" s="47">
        <v>58295</v>
      </c>
      <c r="E74" s="17">
        <v>48</v>
      </c>
      <c r="F74" s="17">
        <v>329937.66712954763</v>
      </c>
      <c r="G74" s="17">
        <v>13397.332870452374</v>
      </c>
      <c r="H74" s="68">
        <f t="shared" si="0"/>
        <v>3.9021168451956174</v>
      </c>
    </row>
    <row r="75" spans="1:8" x14ac:dyDescent="0.2">
      <c r="A75" s="46">
        <v>185047</v>
      </c>
      <c r="B75" s="47">
        <v>64009</v>
      </c>
      <c r="C75" s="47">
        <v>69190</v>
      </c>
      <c r="E75" s="17">
        <v>49</v>
      </c>
      <c r="F75" s="17">
        <v>163722.74396607131</v>
      </c>
      <c r="G75" s="17">
        <v>-18808.743966071313</v>
      </c>
      <c r="H75" s="68">
        <f t="shared" si="0"/>
        <v>12.979245598128072</v>
      </c>
    </row>
    <row r="76" spans="1:8" x14ac:dyDescent="0.2">
      <c r="A76" s="46">
        <v>198697</v>
      </c>
      <c r="B76" s="47">
        <v>63807</v>
      </c>
      <c r="C76" s="47">
        <v>59599</v>
      </c>
      <c r="E76" s="17">
        <v>50</v>
      </c>
      <c r="F76" s="17">
        <v>188511.03724049608</v>
      </c>
      <c r="G76" s="17">
        <v>-17203.03724049608</v>
      </c>
      <c r="H76" s="68">
        <f t="shared" si="0"/>
        <v>10.042168048483479</v>
      </c>
    </row>
    <row r="77" spans="1:8" x14ac:dyDescent="0.2">
      <c r="A77" s="46">
        <v>207841</v>
      </c>
      <c r="B77" s="47">
        <v>82820</v>
      </c>
      <c r="C77" s="47">
        <v>75596</v>
      </c>
      <c r="E77" s="17">
        <v>51</v>
      </c>
      <c r="F77" s="17">
        <v>181973.52548981045</v>
      </c>
      <c r="G77" s="17">
        <v>2825.4745101895533</v>
      </c>
      <c r="H77" s="68">
        <f t="shared" si="0"/>
        <v>1.5289446967730091</v>
      </c>
    </row>
    <row r="78" spans="1:8" x14ac:dyDescent="0.2">
      <c r="A78" s="46">
        <v>240705</v>
      </c>
      <c r="B78" s="47">
        <v>84059</v>
      </c>
      <c r="C78" s="47">
        <v>74525</v>
      </c>
      <c r="E78" s="17">
        <v>52</v>
      </c>
      <c r="F78" s="17">
        <v>181594.14905099841</v>
      </c>
      <c r="G78" s="17">
        <v>3943.8509490015858</v>
      </c>
      <c r="H78" s="68">
        <f t="shared" si="0"/>
        <v>2.1256297626370801</v>
      </c>
    </row>
    <row r="79" spans="1:8" x14ac:dyDescent="0.2">
      <c r="A79" s="46">
        <v>220235</v>
      </c>
      <c r="B79" s="47">
        <v>87108</v>
      </c>
      <c r="C79" s="47">
        <v>112648</v>
      </c>
      <c r="E79" s="17">
        <v>53</v>
      </c>
      <c r="F79" s="17">
        <v>180544.48815588278</v>
      </c>
      <c r="G79" s="17">
        <v>15075.511844117224</v>
      </c>
      <c r="H79" s="68">
        <f t="shared" si="0"/>
        <v>7.7065289050798613</v>
      </c>
    </row>
    <row r="80" spans="1:8" x14ac:dyDescent="0.2">
      <c r="A80" s="46">
        <v>270553</v>
      </c>
      <c r="B80" s="47">
        <v>89471</v>
      </c>
      <c r="C80" s="47">
        <v>98663</v>
      </c>
      <c r="E80" s="17">
        <v>54</v>
      </c>
      <c r="F80" s="17">
        <v>221235.14927984506</v>
      </c>
      <c r="G80" s="17">
        <v>-3566.1492798450636</v>
      </c>
      <c r="H80" s="68">
        <f t="shared" si="0"/>
        <v>1.6383358585030774</v>
      </c>
    </row>
    <row r="81" spans="1:8" x14ac:dyDescent="0.2">
      <c r="A81" s="46">
        <v>296691</v>
      </c>
      <c r="B81" s="47">
        <v>140350</v>
      </c>
      <c r="C81" s="47">
        <v>89795</v>
      </c>
      <c r="E81" s="17">
        <v>55</v>
      </c>
      <c r="F81" s="17">
        <v>211775.33583453193</v>
      </c>
      <c r="G81" s="17">
        <v>34706.664165468072</v>
      </c>
      <c r="H81" s="68">
        <f t="shared" si="0"/>
        <v>14.080810836275296</v>
      </c>
    </row>
    <row r="82" spans="1:8" x14ac:dyDescent="0.2">
      <c r="A82" s="46">
        <v>298518</v>
      </c>
      <c r="B82" s="47">
        <v>104644</v>
      </c>
      <c r="C82" s="47">
        <v>130334</v>
      </c>
      <c r="E82" s="17">
        <v>56</v>
      </c>
      <c r="F82" s="17">
        <v>217293.61523584303</v>
      </c>
      <c r="G82" s="17">
        <v>23555.384764156974</v>
      </c>
      <c r="H82" s="68">
        <f t="shared" si="0"/>
        <v>9.7801463838990301</v>
      </c>
    </row>
    <row r="83" spans="1:8" x14ac:dyDescent="0.2">
      <c r="A83" s="46">
        <v>325963</v>
      </c>
      <c r="B83" s="47">
        <v>136164</v>
      </c>
      <c r="C83" s="47">
        <v>103159</v>
      </c>
      <c r="E83" s="17">
        <v>57</v>
      </c>
      <c r="F83" s="17">
        <v>249372.59676976211</v>
      </c>
      <c r="G83" s="17">
        <v>29107.403230237891</v>
      </c>
      <c r="H83" s="68">
        <f t="shared" si="0"/>
        <v>10.452241895374135</v>
      </c>
    </row>
    <row r="84" spans="1:8" x14ac:dyDescent="0.2">
      <c r="A84" s="46">
        <v>325414</v>
      </c>
      <c r="B84" s="47">
        <v>125437</v>
      </c>
      <c r="C84" s="47">
        <v>81258</v>
      </c>
      <c r="E84" s="17">
        <v>58</v>
      </c>
      <c r="F84" s="17">
        <v>268880.23130487872</v>
      </c>
      <c r="G84" s="17">
        <v>32048.768695121282</v>
      </c>
      <c r="H84" s="68">
        <f t="shared" si="0"/>
        <v>10.649943573109033</v>
      </c>
    </row>
    <row r="85" spans="1:8" x14ac:dyDescent="0.2">
      <c r="A85" s="46">
        <v>379207</v>
      </c>
      <c r="B85" s="47">
        <v>178536</v>
      </c>
      <c r="C85" s="47">
        <v>162392</v>
      </c>
      <c r="E85" s="17">
        <v>59</v>
      </c>
      <c r="F85" s="17">
        <v>234848.2107399721</v>
      </c>
      <c r="G85" s="17">
        <v>80511.789260027901</v>
      </c>
      <c r="H85" s="68">
        <f t="shared" si="0"/>
        <v>25.530120896761765</v>
      </c>
    </row>
    <row r="86" spans="1:8" x14ac:dyDescent="0.2">
      <c r="A86" s="46">
        <v>181239</v>
      </c>
      <c r="B86" s="47">
        <v>55133</v>
      </c>
      <c r="C86" s="47">
        <v>28143</v>
      </c>
      <c r="E86" s="17">
        <v>60</v>
      </c>
      <c r="F86" s="17">
        <v>320315.89813765412</v>
      </c>
      <c r="G86" s="17">
        <v>31298.10186234588</v>
      </c>
      <c r="H86" s="68">
        <f t="shared" si="0"/>
        <v>8.9012672596500373</v>
      </c>
    </row>
    <row r="87" spans="1:8" x14ac:dyDescent="0.2">
      <c r="A87" s="46">
        <v>196578</v>
      </c>
      <c r="B87" s="47">
        <v>71447</v>
      </c>
      <c r="C87" s="47">
        <v>41718</v>
      </c>
      <c r="E87" s="17">
        <v>61</v>
      </c>
      <c r="F87" s="17">
        <v>192454.58537921263</v>
      </c>
      <c r="G87" s="17">
        <v>-40443.585379212629</v>
      </c>
      <c r="H87" s="68">
        <f t="shared" si="0"/>
        <v>26.605696547758139</v>
      </c>
    </row>
    <row r="88" spans="1:8" x14ac:dyDescent="0.2">
      <c r="A88" s="46">
        <v>193186</v>
      </c>
      <c r="B88" s="47">
        <v>63586</v>
      </c>
      <c r="C88" s="47">
        <v>43368</v>
      </c>
      <c r="E88" s="17">
        <v>62</v>
      </c>
      <c r="F88" s="17">
        <v>164347.21583077143</v>
      </c>
      <c r="G88" s="17">
        <v>-13118.215830771427</v>
      </c>
      <c r="H88" s="68">
        <f t="shared" si="0"/>
        <v>8.6744049294589178</v>
      </c>
    </row>
    <row r="89" spans="1:8" x14ac:dyDescent="0.2">
      <c r="A89" s="46">
        <v>217703</v>
      </c>
      <c r="B89" s="47">
        <v>101116</v>
      </c>
      <c r="C89" s="47">
        <v>55228</v>
      </c>
      <c r="E89" s="17">
        <v>63</v>
      </c>
      <c r="F89" s="17">
        <v>180241.76707184481</v>
      </c>
      <c r="G89" s="17">
        <v>-62.767071844806196</v>
      </c>
      <c r="H89" s="68">
        <f t="shared" si="0"/>
        <v>3.4835953049359908E-2</v>
      </c>
    </row>
    <row r="90" spans="1:8" x14ac:dyDescent="0.2">
      <c r="A90" s="46">
        <v>240038</v>
      </c>
      <c r="B90" s="47">
        <v>112971</v>
      </c>
      <c r="C90" s="47">
        <v>61064</v>
      </c>
      <c r="E90" s="17">
        <v>64</v>
      </c>
      <c r="F90" s="17">
        <v>195587.20888659576</v>
      </c>
      <c r="G90" s="17">
        <v>-10078.208886595763</v>
      </c>
      <c r="H90" s="68">
        <f t="shared" si="0"/>
        <v>5.4327331216252386</v>
      </c>
    </row>
    <row r="91" spans="1:8" x14ac:dyDescent="0.2">
      <c r="A91" s="46">
        <v>235631</v>
      </c>
      <c r="B91" s="47">
        <v>81343</v>
      </c>
      <c r="C91" s="47">
        <v>57715</v>
      </c>
      <c r="E91" s="17">
        <v>65</v>
      </c>
      <c r="F91" s="17">
        <v>202681.55871250876</v>
      </c>
      <c r="G91" s="17">
        <v>1567.4412874912377</v>
      </c>
      <c r="H91" s="68">
        <f t="shared" si="0"/>
        <v>0.76741687229373834</v>
      </c>
    </row>
    <row r="92" spans="1:8" x14ac:dyDescent="0.2">
      <c r="A92" s="46">
        <v>258876</v>
      </c>
      <c r="B92" s="47">
        <v>96530</v>
      </c>
      <c r="C92" s="47">
        <v>72256</v>
      </c>
      <c r="E92" s="17">
        <v>66</v>
      </c>
      <c r="F92" s="17">
        <v>244122.81861365968</v>
      </c>
      <c r="G92" s="17">
        <v>-18118.818613659678</v>
      </c>
      <c r="H92" s="68">
        <f t="shared" ref="H92:H155" si="1">ABS((A67-F92)/A67)*100</f>
        <v>8.017034483309887</v>
      </c>
    </row>
    <row r="93" spans="1:8" x14ac:dyDescent="0.2">
      <c r="A93" s="46">
        <v>260296</v>
      </c>
      <c r="B93" s="47">
        <v>125476</v>
      </c>
      <c r="C93" s="47">
        <v>50178</v>
      </c>
      <c r="E93" s="17">
        <v>67</v>
      </c>
      <c r="F93" s="17">
        <v>217294.25763469079</v>
      </c>
      <c r="G93" s="17">
        <v>-4260.2576346907881</v>
      </c>
      <c r="H93" s="68">
        <f t="shared" si="1"/>
        <v>1.9998017380750435</v>
      </c>
    </row>
    <row r="94" spans="1:8" x14ac:dyDescent="0.2">
      <c r="A94" s="46">
        <v>280285</v>
      </c>
      <c r="B94" s="47">
        <v>116469</v>
      </c>
      <c r="C94" s="47">
        <v>65144</v>
      </c>
      <c r="E94" s="17">
        <v>68</v>
      </c>
      <c r="F94" s="17">
        <v>242813.39655105863</v>
      </c>
      <c r="G94" s="17">
        <v>22167.603448941372</v>
      </c>
      <c r="H94" s="68">
        <f t="shared" si="1"/>
        <v>8.3657331842439167</v>
      </c>
    </row>
    <row r="95" spans="1:8" x14ac:dyDescent="0.2">
      <c r="A95" s="46">
        <v>297145</v>
      </c>
      <c r="B95" s="47">
        <v>111795</v>
      </c>
      <c r="C95" s="47">
        <v>86246</v>
      </c>
      <c r="E95" s="17">
        <v>69</v>
      </c>
      <c r="F95" s="17">
        <v>236691.10969124499</v>
      </c>
      <c r="G95" s="17">
        <v>19445.890308755013</v>
      </c>
      <c r="H95" s="68">
        <f t="shared" si="1"/>
        <v>7.5919880020282173</v>
      </c>
    </row>
    <row r="96" spans="1:8" x14ac:dyDescent="0.2">
      <c r="A96" s="46">
        <v>388327</v>
      </c>
      <c r="B96" s="47">
        <v>204157</v>
      </c>
      <c r="C96" s="47">
        <v>103292</v>
      </c>
      <c r="E96" s="17">
        <v>70</v>
      </c>
      <c r="F96" s="17">
        <v>306706.59043992689</v>
      </c>
      <c r="G96" s="17">
        <v>5155.4095600731089</v>
      </c>
      <c r="H96" s="68">
        <f t="shared" si="1"/>
        <v>1.6531060405157116</v>
      </c>
    </row>
    <row r="97" spans="1:8" x14ac:dyDescent="0.2">
      <c r="A97" s="46">
        <v>349304</v>
      </c>
      <c r="B97" s="47">
        <v>160788</v>
      </c>
      <c r="C97" s="47">
        <v>95657</v>
      </c>
      <c r="E97" s="17">
        <v>71</v>
      </c>
      <c r="F97" s="17">
        <v>265625.91424606822</v>
      </c>
      <c r="G97" s="17">
        <v>31750.08575393178</v>
      </c>
      <c r="H97" s="68">
        <f t="shared" si="1"/>
        <v>10.676747872703842</v>
      </c>
    </row>
    <row r="98" spans="1:8" x14ac:dyDescent="0.2">
      <c r="A98" s="46">
        <v>108812</v>
      </c>
      <c r="B98" s="47">
        <v>40383</v>
      </c>
      <c r="C98" s="47">
        <v>18081</v>
      </c>
      <c r="E98" s="17">
        <v>72</v>
      </c>
      <c r="F98" s="17">
        <v>327415.80316367978</v>
      </c>
      <c r="G98" s="17">
        <v>23905.196836320218</v>
      </c>
      <c r="H98" s="68">
        <f t="shared" si="1"/>
        <v>6.8043745851572259</v>
      </c>
    </row>
    <row r="99" spans="1:8" x14ac:dyDescent="0.2">
      <c r="A99" s="46">
        <v>97639</v>
      </c>
      <c r="B99" s="47">
        <v>43237</v>
      </c>
      <c r="C99" s="47">
        <v>21386</v>
      </c>
      <c r="E99" s="17">
        <v>73</v>
      </c>
      <c r="F99" s="17">
        <v>166236.51660709898</v>
      </c>
      <c r="G99" s="17">
        <v>513.48339290102012</v>
      </c>
      <c r="H99" s="68">
        <f t="shared" si="1"/>
        <v>0.30793606770675869</v>
      </c>
    </row>
    <row r="100" spans="1:8" x14ac:dyDescent="0.2">
      <c r="A100" s="46">
        <v>123743</v>
      </c>
      <c r="B100" s="47">
        <v>56274</v>
      </c>
      <c r="C100" s="47">
        <v>26734</v>
      </c>
      <c r="E100" s="17">
        <v>74</v>
      </c>
      <c r="F100" s="17">
        <v>177124.74798962392</v>
      </c>
      <c r="G100" s="17">
        <v>7922.2520103760762</v>
      </c>
      <c r="H100" s="68">
        <f t="shared" si="1"/>
        <v>4.2812107250461109</v>
      </c>
    </row>
    <row r="101" spans="1:8" x14ac:dyDescent="0.2">
      <c r="A101" s="46">
        <v>144170</v>
      </c>
      <c r="B101" s="47">
        <v>51041</v>
      </c>
      <c r="C101" s="47">
        <v>28048</v>
      </c>
      <c r="E101" s="17">
        <v>75</v>
      </c>
      <c r="F101" s="17">
        <v>173487.77793673793</v>
      </c>
      <c r="G101" s="17">
        <v>25209.222063262074</v>
      </c>
      <c r="H101" s="68">
        <f t="shared" si="1"/>
        <v>12.6872685864719</v>
      </c>
    </row>
    <row r="102" spans="1:8" x14ac:dyDescent="0.2">
      <c r="A102" s="46">
        <v>152961</v>
      </c>
      <c r="B102" s="47">
        <v>66194</v>
      </c>
      <c r="C102" s="47">
        <v>20207</v>
      </c>
      <c r="E102" s="17">
        <v>76</v>
      </c>
      <c r="F102" s="17">
        <v>203935.97919019024</v>
      </c>
      <c r="G102" s="17">
        <v>3905.0208098097646</v>
      </c>
      <c r="H102" s="68">
        <f t="shared" si="1"/>
        <v>1.8788500872348406</v>
      </c>
    </row>
    <row r="103" spans="1:8" x14ac:dyDescent="0.2">
      <c r="A103" s="46">
        <v>163377</v>
      </c>
      <c r="B103" s="47">
        <v>63061</v>
      </c>
      <c r="C103" s="47">
        <v>30295</v>
      </c>
      <c r="E103" s="17">
        <v>77</v>
      </c>
      <c r="F103" s="17">
        <v>205176.83908675791</v>
      </c>
      <c r="G103" s="17">
        <v>35528.160913242085</v>
      </c>
      <c r="H103" s="68">
        <f t="shared" si="1"/>
        <v>14.760042754924942</v>
      </c>
    </row>
    <row r="104" spans="1:8" x14ac:dyDescent="0.2">
      <c r="A104" s="46">
        <v>182740</v>
      </c>
      <c r="B104" s="47">
        <v>61403</v>
      </c>
      <c r="C104" s="47">
        <v>31594</v>
      </c>
      <c r="E104" s="17">
        <v>78</v>
      </c>
      <c r="F104" s="17">
        <v>222565.63188111651</v>
      </c>
      <c r="G104" s="17">
        <v>-2330.6318811165111</v>
      </c>
      <c r="H104" s="68">
        <f t="shared" si="1"/>
        <v>1.0582477267993331</v>
      </c>
    </row>
    <row r="105" spans="1:8" x14ac:dyDescent="0.2">
      <c r="A105" s="46">
        <v>177789</v>
      </c>
      <c r="B105" s="47">
        <v>61017</v>
      </c>
      <c r="C105" s="47">
        <v>32669</v>
      </c>
      <c r="E105" s="17">
        <v>79</v>
      </c>
      <c r="F105" s="17">
        <v>220731.91017589282</v>
      </c>
      <c r="G105" s="17">
        <v>49821.089824107185</v>
      </c>
      <c r="H105" s="68">
        <f t="shared" si="1"/>
        <v>18.414539784850724</v>
      </c>
    </row>
    <row r="106" spans="1:8" x14ac:dyDescent="0.2">
      <c r="A106" s="46">
        <v>200870</v>
      </c>
      <c r="B106" s="47">
        <v>66444</v>
      </c>
      <c r="C106" s="47">
        <v>33223</v>
      </c>
      <c r="E106" s="17">
        <v>80</v>
      </c>
      <c r="F106" s="17">
        <v>284036.59583859978</v>
      </c>
      <c r="G106" s="17">
        <v>12654.40416140022</v>
      </c>
      <c r="H106" s="68">
        <f t="shared" si="1"/>
        <v>4.2651796520286149</v>
      </c>
    </row>
    <row r="107" spans="1:8" x14ac:dyDescent="0.2">
      <c r="A107" s="46">
        <v>208926</v>
      </c>
      <c r="B107" s="47">
        <v>90937</v>
      </c>
      <c r="C107" s="47">
        <v>40474</v>
      </c>
      <c r="E107" s="17">
        <v>81</v>
      </c>
      <c r="F107" s="17">
        <v>251679.61604064354</v>
      </c>
      <c r="G107" s="17">
        <v>46838.383959356463</v>
      </c>
      <c r="H107" s="68">
        <f t="shared" si="1"/>
        <v>15.690304758626436</v>
      </c>
    </row>
    <row r="108" spans="1:8" x14ac:dyDescent="0.2">
      <c r="A108" s="46">
        <v>236871</v>
      </c>
      <c r="B108" s="47">
        <v>92111</v>
      </c>
      <c r="C108" s="47">
        <v>41692</v>
      </c>
      <c r="E108" s="17">
        <v>82</v>
      </c>
      <c r="F108" s="17">
        <v>283271.93877591542</v>
      </c>
      <c r="G108" s="17">
        <v>42691.06122408458</v>
      </c>
      <c r="H108" s="68">
        <f t="shared" si="1"/>
        <v>13.096904011830969</v>
      </c>
    </row>
    <row r="109" spans="1:8" x14ac:dyDescent="0.2">
      <c r="A109" s="46">
        <v>241312</v>
      </c>
      <c r="B109" s="47">
        <v>90313</v>
      </c>
      <c r="C109" s="47">
        <v>37341</v>
      </c>
      <c r="E109" s="17">
        <v>83</v>
      </c>
      <c r="F109" s="17">
        <v>261564.79448025435</v>
      </c>
      <c r="G109" s="17">
        <v>63849.20551974565</v>
      </c>
      <c r="H109" s="68">
        <f t="shared" si="1"/>
        <v>19.620915363120716</v>
      </c>
    </row>
    <row r="110" spans="1:8" x14ac:dyDescent="0.2">
      <c r="A110" s="46">
        <v>135095</v>
      </c>
      <c r="B110" s="47">
        <v>42772</v>
      </c>
      <c r="C110" s="47">
        <v>26446</v>
      </c>
      <c r="E110" s="17">
        <v>84</v>
      </c>
      <c r="F110" s="17">
        <v>359422.37992727384</v>
      </c>
      <c r="G110" s="17">
        <v>19784.62007272616</v>
      </c>
      <c r="H110" s="68">
        <f t="shared" si="1"/>
        <v>5.2173667871970082</v>
      </c>
    </row>
    <row r="111" spans="1:8" x14ac:dyDescent="0.2">
      <c r="A111" s="46">
        <v>158009</v>
      </c>
      <c r="B111" s="47">
        <v>62380</v>
      </c>
      <c r="C111" s="47">
        <v>50389</v>
      </c>
      <c r="E111" s="17">
        <v>85</v>
      </c>
      <c r="F111" s="17">
        <v>151100.27726446665</v>
      </c>
      <c r="G111" s="17">
        <v>30138.722735533345</v>
      </c>
      <c r="H111" s="68">
        <f t="shared" si="1"/>
        <v>16.629270044269358</v>
      </c>
    </row>
    <row r="112" spans="1:8" x14ac:dyDescent="0.2">
      <c r="A112" s="46">
        <v>156671</v>
      </c>
      <c r="B112" s="47">
        <v>56226</v>
      </c>
      <c r="C112" s="47">
        <v>59168</v>
      </c>
      <c r="E112" s="17">
        <v>86</v>
      </c>
      <c r="F112" s="17">
        <v>177173.03202034635</v>
      </c>
      <c r="G112" s="17">
        <v>19404.967979653651</v>
      </c>
      <c r="H112" s="68">
        <f t="shared" si="1"/>
        <v>9.8713833591010456</v>
      </c>
    </row>
    <row r="113" spans="1:8" x14ac:dyDescent="0.2">
      <c r="A113" s="46">
        <v>160552</v>
      </c>
      <c r="B113" s="47">
        <v>52940</v>
      </c>
      <c r="C113" s="47">
        <v>51364</v>
      </c>
      <c r="E113" s="17">
        <v>87</v>
      </c>
      <c r="F113" s="17">
        <v>167490.64579689212</v>
      </c>
      <c r="G113" s="17">
        <v>25695.354203107883</v>
      </c>
      <c r="H113" s="68">
        <f t="shared" si="1"/>
        <v>13.300836604675226</v>
      </c>
    </row>
    <row r="114" spans="1:8" x14ac:dyDescent="0.2">
      <c r="A114" s="46">
        <v>187019</v>
      </c>
      <c r="B114" s="47">
        <v>67795</v>
      </c>
      <c r="C114" s="47">
        <v>39415</v>
      </c>
      <c r="E114" s="17">
        <v>88</v>
      </c>
      <c r="F114" s="17">
        <v>220658.17185737519</v>
      </c>
      <c r="G114" s="17">
        <v>-2955.1718573751859</v>
      </c>
      <c r="H114" s="68">
        <f t="shared" si="1"/>
        <v>1.3574327672908439</v>
      </c>
    </row>
    <row r="115" spans="1:8" x14ac:dyDescent="0.2">
      <c r="A115" s="46">
        <v>222003</v>
      </c>
      <c r="B115" s="47">
        <v>90942</v>
      </c>
      <c r="C115" s="47">
        <v>67160</v>
      </c>
      <c r="E115" s="17">
        <v>89</v>
      </c>
      <c r="F115" s="17">
        <v>238187.71711518953</v>
      </c>
      <c r="G115" s="17">
        <v>1850.2828848104691</v>
      </c>
      <c r="H115" s="68">
        <f t="shared" si="1"/>
        <v>0.7708291540549701</v>
      </c>
    </row>
    <row r="116" spans="1:8" x14ac:dyDescent="0.2">
      <c r="A116" s="46">
        <v>229270</v>
      </c>
      <c r="B116" s="47">
        <v>84010</v>
      </c>
      <c r="C116" s="47">
        <v>59818</v>
      </c>
      <c r="E116" s="17">
        <v>90</v>
      </c>
      <c r="F116" s="17">
        <v>195718.78923512268</v>
      </c>
      <c r="G116" s="17">
        <v>39912.210764877324</v>
      </c>
      <c r="H116" s="68">
        <f t="shared" si="1"/>
        <v>16.938437966514304</v>
      </c>
    </row>
    <row r="117" spans="1:8" x14ac:dyDescent="0.2">
      <c r="A117" s="46">
        <v>241196</v>
      </c>
      <c r="B117" s="47">
        <v>96959</v>
      </c>
      <c r="C117" s="47">
        <v>63598</v>
      </c>
      <c r="E117" s="17">
        <v>91</v>
      </c>
      <c r="F117" s="17">
        <v>220659.97296421326</v>
      </c>
      <c r="G117" s="17">
        <v>38216.027035786741</v>
      </c>
      <c r="H117" s="68">
        <f t="shared" si="1"/>
        <v>14.762290454034648</v>
      </c>
    </row>
    <row r="118" spans="1:8" x14ac:dyDescent="0.2">
      <c r="A118" s="46">
        <v>263087</v>
      </c>
      <c r="B118" s="47">
        <v>118444</v>
      </c>
      <c r="C118" s="47">
        <v>86509</v>
      </c>
      <c r="E118" s="17">
        <v>92</v>
      </c>
      <c r="F118" s="17">
        <v>250684.55007702499</v>
      </c>
      <c r="G118" s="17">
        <v>9611.4499229750072</v>
      </c>
      <c r="H118" s="68">
        <f t="shared" si="1"/>
        <v>3.6925077308045484</v>
      </c>
    </row>
    <row r="119" spans="1:8" x14ac:dyDescent="0.2">
      <c r="A119" s="46">
        <v>288050</v>
      </c>
      <c r="B119" s="47">
        <v>101397</v>
      </c>
      <c r="C119" s="47">
        <v>98584</v>
      </c>
      <c r="E119" s="17">
        <v>93</v>
      </c>
      <c r="F119" s="17">
        <v>244189.41155909072</v>
      </c>
      <c r="G119" s="17">
        <v>36095.588440909283</v>
      </c>
      <c r="H119" s="68">
        <f t="shared" si="1"/>
        <v>12.878173445210869</v>
      </c>
    </row>
    <row r="120" spans="1:8" x14ac:dyDescent="0.2">
      <c r="A120" s="46">
        <v>324716</v>
      </c>
      <c r="B120" s="47">
        <v>161933</v>
      </c>
      <c r="C120" s="47">
        <v>114049</v>
      </c>
      <c r="E120" s="17">
        <v>94</v>
      </c>
      <c r="F120" s="17">
        <v>245509.19496922192</v>
      </c>
      <c r="G120" s="17">
        <v>51635.80503077808</v>
      </c>
      <c r="H120" s="68">
        <f t="shared" si="1"/>
        <v>17.377309068225305</v>
      </c>
    </row>
    <row r="121" spans="1:8" x14ac:dyDescent="0.2">
      <c r="A121" s="46">
        <v>304662</v>
      </c>
      <c r="B121" s="47">
        <v>114407</v>
      </c>
      <c r="C121" s="47">
        <v>91684</v>
      </c>
      <c r="E121" s="17">
        <v>95</v>
      </c>
      <c r="F121" s="17">
        <v>372085.07334393874</v>
      </c>
      <c r="G121" s="17">
        <v>16241.92665606126</v>
      </c>
      <c r="H121" s="68">
        <f t="shared" si="1"/>
        <v>4.1825385966109128</v>
      </c>
    </row>
    <row r="122" spans="1:8" x14ac:dyDescent="0.2">
      <c r="A122" s="46">
        <v>193883</v>
      </c>
      <c r="B122" s="47">
        <v>82655</v>
      </c>
      <c r="C122" s="47">
        <v>32329</v>
      </c>
      <c r="E122" s="17">
        <v>96</v>
      </c>
      <c r="F122" s="17">
        <v>312780.58086000168</v>
      </c>
      <c r="G122" s="17">
        <v>36523.419139998325</v>
      </c>
      <c r="H122" s="68">
        <f t="shared" si="1"/>
        <v>10.456055224102307</v>
      </c>
    </row>
    <row r="123" spans="1:8" x14ac:dyDescent="0.2">
      <c r="A123" s="46">
        <v>212184</v>
      </c>
      <c r="B123" s="47">
        <v>105670</v>
      </c>
      <c r="C123" s="47">
        <v>35120</v>
      </c>
      <c r="E123" s="17">
        <v>97</v>
      </c>
      <c r="F123" s="17">
        <v>128304.91760552939</v>
      </c>
      <c r="G123" s="17">
        <v>-19492.917605529394</v>
      </c>
      <c r="H123" s="68">
        <f t="shared" si="1"/>
        <v>17.91430872103205</v>
      </c>
    </row>
    <row r="124" spans="1:8" x14ac:dyDescent="0.2">
      <c r="A124" s="46">
        <v>214825</v>
      </c>
      <c r="B124" s="47">
        <v>110304</v>
      </c>
      <c r="C124" s="47">
        <v>48255</v>
      </c>
      <c r="E124" s="17">
        <v>98</v>
      </c>
      <c r="F124" s="17">
        <v>133193.28031073287</v>
      </c>
      <c r="G124" s="17">
        <v>-35554.280310732865</v>
      </c>
      <c r="H124" s="68">
        <f t="shared" si="1"/>
        <v>36.414015209837117</v>
      </c>
    </row>
    <row r="125" spans="1:8" x14ac:dyDescent="0.2">
      <c r="A125" s="46">
        <v>223706</v>
      </c>
      <c r="B125" s="47">
        <v>152864</v>
      </c>
      <c r="C125" s="47">
        <v>47882</v>
      </c>
      <c r="E125" s="17">
        <v>99</v>
      </c>
      <c r="F125" s="17">
        <v>152094.31788446027</v>
      </c>
      <c r="G125" s="17">
        <v>-28351.317884460266</v>
      </c>
      <c r="H125" s="68">
        <f t="shared" si="1"/>
        <v>22.91145186754828</v>
      </c>
    </row>
    <row r="126" spans="1:8" x14ac:dyDescent="0.2">
      <c r="A126" s="46">
        <v>249746</v>
      </c>
      <c r="B126" s="47">
        <v>153890</v>
      </c>
      <c r="C126" s="47">
        <v>51773</v>
      </c>
      <c r="E126" s="17">
        <v>100</v>
      </c>
      <c r="F126" s="17">
        <v>145724.66876670401</v>
      </c>
      <c r="G126" s="17">
        <v>-1554.6687667040096</v>
      </c>
      <c r="H126" s="68">
        <f t="shared" si="1"/>
        <v>1.0783580264299157</v>
      </c>
    </row>
    <row r="127" spans="1:8" x14ac:dyDescent="0.2">
      <c r="A127" s="46">
        <v>274821</v>
      </c>
      <c r="B127" s="47">
        <v>155968</v>
      </c>
      <c r="C127" s="47">
        <v>45946</v>
      </c>
      <c r="E127" s="17">
        <v>101</v>
      </c>
      <c r="F127" s="17">
        <v>162749.48219411512</v>
      </c>
      <c r="G127" s="17">
        <v>-9788.4821941151167</v>
      </c>
      <c r="H127" s="68">
        <f t="shared" si="1"/>
        <v>6.3993319827375066</v>
      </c>
    </row>
    <row r="128" spans="1:8" x14ac:dyDescent="0.2">
      <c r="A128" s="46">
        <v>279673</v>
      </c>
      <c r="B128" s="47">
        <v>158357</v>
      </c>
      <c r="C128" s="47">
        <v>70696</v>
      </c>
      <c r="E128" s="17">
        <v>102</v>
      </c>
      <c r="F128" s="17">
        <v>162207.33646718314</v>
      </c>
      <c r="G128" s="17">
        <v>1169.6635328168632</v>
      </c>
      <c r="H128" s="68">
        <f t="shared" si="1"/>
        <v>0.71592912883506432</v>
      </c>
    </row>
    <row r="129" spans="1:8" x14ac:dyDescent="0.2">
      <c r="A129" s="46">
        <v>299936</v>
      </c>
      <c r="B129" s="47">
        <v>152465</v>
      </c>
      <c r="C129" s="47">
        <v>61354</v>
      </c>
      <c r="E129" s="17">
        <v>103</v>
      </c>
      <c r="F129" s="17">
        <v>160499.65282932011</v>
      </c>
      <c r="G129" s="17">
        <v>22240.347170679888</v>
      </c>
      <c r="H129" s="68">
        <f t="shared" si="1"/>
        <v>12.170486576928909</v>
      </c>
    </row>
    <row r="130" spans="1:8" x14ac:dyDescent="0.2">
      <c r="A130" s="46">
        <v>328241</v>
      </c>
      <c r="B130" s="47">
        <v>181847</v>
      </c>
      <c r="C130" s="47">
        <v>57142</v>
      </c>
      <c r="E130" s="17">
        <v>104</v>
      </c>
      <c r="F130" s="17">
        <v>160373.81003711553</v>
      </c>
      <c r="G130" s="17">
        <v>17415.189962884469</v>
      </c>
      <c r="H130" s="68">
        <f t="shared" si="1"/>
        <v>9.7954260178551369</v>
      </c>
    </row>
    <row r="131" spans="1:8" x14ac:dyDescent="0.2">
      <c r="A131" s="46">
        <v>375400</v>
      </c>
      <c r="B131" s="47">
        <v>249129</v>
      </c>
      <c r="C131" s="47">
        <v>68521</v>
      </c>
      <c r="E131" s="17">
        <v>105</v>
      </c>
      <c r="F131" s="17">
        <v>167653.72548111927</v>
      </c>
      <c r="G131" s="17">
        <v>33216.274518880731</v>
      </c>
      <c r="H131" s="68">
        <f t="shared" si="1"/>
        <v>16.536204768696535</v>
      </c>
    </row>
    <row r="132" spans="1:8" x14ac:dyDescent="0.2">
      <c r="A132" s="46">
        <v>377811</v>
      </c>
      <c r="B132" s="47">
        <v>231174</v>
      </c>
      <c r="C132" s="47">
        <v>96205</v>
      </c>
      <c r="E132" s="17">
        <v>106</v>
      </c>
      <c r="F132" s="17">
        <v>202180.12796605504</v>
      </c>
      <c r="G132" s="17">
        <v>6745.8720339449646</v>
      </c>
      <c r="H132" s="68">
        <f t="shared" si="1"/>
        <v>3.2288331916300339</v>
      </c>
    </row>
    <row r="133" spans="1:8" x14ac:dyDescent="0.2">
      <c r="A133" s="46">
        <v>409565</v>
      </c>
      <c r="B133" s="47">
        <v>232728</v>
      </c>
      <c r="C133" s="47">
        <v>103327</v>
      </c>
      <c r="E133" s="17">
        <v>107</v>
      </c>
      <c r="F133" s="17">
        <v>204141.19407744051</v>
      </c>
      <c r="G133" s="17">
        <v>32729.805922559492</v>
      </c>
      <c r="H133" s="68">
        <f t="shared" si="1"/>
        <v>13.817565646516245</v>
      </c>
    </row>
    <row r="134" spans="1:8" x14ac:dyDescent="0.2">
      <c r="A134" s="46">
        <v>129542</v>
      </c>
      <c r="B134" s="47">
        <v>55142</v>
      </c>
      <c r="C134" s="47">
        <v>31152</v>
      </c>
      <c r="E134" s="17">
        <v>108</v>
      </c>
      <c r="F134" s="17">
        <v>200263.57350393935</v>
      </c>
      <c r="G134" s="17">
        <v>41048.426496060652</v>
      </c>
      <c r="H134" s="68">
        <f t="shared" si="1"/>
        <v>17.010520196285579</v>
      </c>
    </row>
    <row r="135" spans="1:8" x14ac:dyDescent="0.2">
      <c r="A135" s="46">
        <v>135671</v>
      </c>
      <c r="B135" s="47">
        <v>57541</v>
      </c>
      <c r="C135" s="47">
        <v>28317</v>
      </c>
      <c r="E135" s="17">
        <v>109</v>
      </c>
      <c r="F135" s="17">
        <v>134365.86729267146</v>
      </c>
      <c r="G135" s="17">
        <v>729.13270732853562</v>
      </c>
      <c r="H135" s="68">
        <f t="shared" si="1"/>
        <v>0.53971849981756215</v>
      </c>
    </row>
    <row r="136" spans="1:8" x14ac:dyDescent="0.2">
      <c r="A136" s="46">
        <v>143420</v>
      </c>
      <c r="B136" s="47">
        <v>72362</v>
      </c>
      <c r="C136" s="47">
        <v>34138</v>
      </c>
      <c r="E136" s="17">
        <v>110</v>
      </c>
      <c r="F136" s="17">
        <v>168385.54510748404</v>
      </c>
      <c r="G136" s="17">
        <v>-10376.545107484038</v>
      </c>
      <c r="H136" s="68">
        <f t="shared" si="1"/>
        <v>6.5670595393199358</v>
      </c>
    </row>
    <row r="137" spans="1:8" x14ac:dyDescent="0.2">
      <c r="A137" s="46">
        <v>171066</v>
      </c>
      <c r="B137" s="47">
        <v>84564</v>
      </c>
      <c r="C137" s="47">
        <v>29098</v>
      </c>
      <c r="E137" s="17">
        <v>111</v>
      </c>
      <c r="F137" s="17">
        <v>163439.02849437378</v>
      </c>
      <c r="G137" s="17">
        <v>-6768.0284943737788</v>
      </c>
      <c r="H137" s="68">
        <f t="shared" si="1"/>
        <v>4.3198987013383325</v>
      </c>
    </row>
    <row r="138" spans="1:8" x14ac:dyDescent="0.2">
      <c r="A138" s="46">
        <v>154880</v>
      </c>
      <c r="B138" s="47">
        <v>83296</v>
      </c>
      <c r="C138" s="47">
        <v>28311</v>
      </c>
      <c r="E138" s="17">
        <v>112</v>
      </c>
      <c r="F138" s="17">
        <v>156404.33512065711</v>
      </c>
      <c r="G138" s="17">
        <v>4147.6648793428903</v>
      </c>
      <c r="H138" s="68">
        <f t="shared" si="1"/>
        <v>2.5833778958486286</v>
      </c>
    </row>
    <row r="139" spans="1:8" x14ac:dyDescent="0.2">
      <c r="A139" s="46">
        <v>177728</v>
      </c>
      <c r="B139" s="47">
        <v>96072</v>
      </c>
      <c r="C139" s="47">
        <v>38514</v>
      </c>
      <c r="E139" s="17">
        <v>113</v>
      </c>
      <c r="F139" s="17">
        <v>171595.27660009186</v>
      </c>
      <c r="G139" s="17">
        <v>15423.723399908136</v>
      </c>
      <c r="H139" s="68">
        <f t="shared" si="1"/>
        <v>8.247142482800216</v>
      </c>
    </row>
    <row r="140" spans="1:8" x14ac:dyDescent="0.2">
      <c r="A140" s="46">
        <v>175248</v>
      </c>
      <c r="B140" s="47">
        <v>70037</v>
      </c>
      <c r="C140" s="47">
        <v>40640</v>
      </c>
      <c r="E140" s="17">
        <v>114</v>
      </c>
      <c r="F140" s="17">
        <v>211572.39976471438</v>
      </c>
      <c r="G140" s="17">
        <v>10430.600235285616</v>
      </c>
      <c r="H140" s="68">
        <f t="shared" si="1"/>
        <v>4.698405082492406</v>
      </c>
    </row>
    <row r="141" spans="1:8" x14ac:dyDescent="0.2">
      <c r="A141" s="46">
        <v>204081</v>
      </c>
      <c r="B141" s="47">
        <v>102669</v>
      </c>
      <c r="C141" s="47">
        <v>41223</v>
      </c>
      <c r="E141" s="17">
        <v>115</v>
      </c>
      <c r="F141" s="17">
        <v>199940.26340578892</v>
      </c>
      <c r="G141" s="17">
        <v>29329.736594211077</v>
      </c>
      <c r="H141" s="68">
        <f t="shared" si="1"/>
        <v>12.792662186160891</v>
      </c>
    </row>
    <row r="142" spans="1:8" x14ac:dyDescent="0.2">
      <c r="A142" s="46">
        <v>243236</v>
      </c>
      <c r="B142" s="47">
        <v>104695</v>
      </c>
      <c r="C142" s="47">
        <v>61896</v>
      </c>
      <c r="E142" s="17">
        <v>116</v>
      </c>
      <c r="F142" s="17">
        <v>218174.93310996503</v>
      </c>
      <c r="G142" s="17">
        <v>23021.06689003497</v>
      </c>
      <c r="H142" s="68">
        <f t="shared" si="1"/>
        <v>9.544547542262297</v>
      </c>
    </row>
    <row r="143" spans="1:8" x14ac:dyDescent="0.2">
      <c r="A143" s="46">
        <v>287547</v>
      </c>
      <c r="B143" s="47">
        <v>148669</v>
      </c>
      <c r="C143" s="47">
        <v>63329</v>
      </c>
      <c r="E143" s="17">
        <v>117</v>
      </c>
      <c r="F143" s="17">
        <v>254282.11056113726</v>
      </c>
      <c r="G143" s="17">
        <v>8804.8894388627377</v>
      </c>
      <c r="H143" s="68">
        <f t="shared" si="1"/>
        <v>3.346759603805106</v>
      </c>
    </row>
    <row r="144" spans="1:8" x14ac:dyDescent="0.2">
      <c r="A144" s="46">
        <v>299102</v>
      </c>
      <c r="B144" s="47">
        <v>161202</v>
      </c>
      <c r="C144" s="47">
        <v>52399</v>
      </c>
      <c r="E144" s="17">
        <v>118</v>
      </c>
      <c r="F144" s="17">
        <v>236273.78037874037</v>
      </c>
      <c r="G144" s="17">
        <v>51776.219621259632</v>
      </c>
      <c r="H144" s="68">
        <f t="shared" si="1"/>
        <v>17.974733421718327</v>
      </c>
    </row>
    <row r="145" spans="1:8" x14ac:dyDescent="0.2">
      <c r="A145" s="46">
        <v>284955</v>
      </c>
      <c r="B145" s="47">
        <v>115558</v>
      </c>
      <c r="C145" s="47">
        <v>77080</v>
      </c>
      <c r="E145" s="17">
        <v>119</v>
      </c>
      <c r="F145" s="17">
        <v>320744.06153545441</v>
      </c>
      <c r="G145" s="17">
        <v>3971.9384645455866</v>
      </c>
      <c r="H145" s="68">
        <f t="shared" si="1"/>
        <v>1.2232038041074622</v>
      </c>
    </row>
    <row r="146" spans="1:8" x14ac:dyDescent="0.2">
      <c r="A146" s="46">
        <v>127834</v>
      </c>
      <c r="B146" s="47">
        <v>51726</v>
      </c>
      <c r="C146" s="47">
        <v>68778</v>
      </c>
      <c r="E146" s="17">
        <v>120</v>
      </c>
      <c r="F146" s="17">
        <v>250831.81967087332</v>
      </c>
      <c r="G146" s="17">
        <v>53830.180329126684</v>
      </c>
      <c r="H146" s="68">
        <f t="shared" si="1"/>
        <v>17.668819980544566</v>
      </c>
    </row>
    <row r="147" spans="1:8" x14ac:dyDescent="0.2">
      <c r="A147" s="46">
        <v>151303</v>
      </c>
      <c r="B147" s="47">
        <v>47179</v>
      </c>
      <c r="C147" s="47">
        <v>84045</v>
      </c>
      <c r="E147" s="17">
        <v>121</v>
      </c>
      <c r="F147" s="17">
        <v>188503.11344749064</v>
      </c>
      <c r="G147" s="17">
        <v>5379.886552509357</v>
      </c>
      <c r="H147" s="68">
        <f t="shared" si="1"/>
        <v>2.7748108666099438</v>
      </c>
    </row>
    <row r="148" spans="1:8" x14ac:dyDescent="0.2">
      <c r="A148" s="46">
        <v>160294</v>
      </c>
      <c r="B148" s="47">
        <v>53984</v>
      </c>
      <c r="C148" s="47">
        <v>55200</v>
      </c>
      <c r="E148" s="17">
        <v>122</v>
      </c>
      <c r="F148" s="17">
        <v>219531.32596222989</v>
      </c>
      <c r="G148" s="17">
        <v>-7347.3259622298938</v>
      </c>
      <c r="H148" s="68">
        <f t="shared" si="1"/>
        <v>3.4627144187261498</v>
      </c>
    </row>
    <row r="149" spans="1:8" x14ac:dyDescent="0.2">
      <c r="A149" s="46">
        <v>169487</v>
      </c>
      <c r="B149" s="47">
        <v>80066</v>
      </c>
      <c r="C149" s="47">
        <v>49118</v>
      </c>
      <c r="E149" s="17">
        <v>123</v>
      </c>
      <c r="F149" s="17">
        <v>230200.83121987389</v>
      </c>
      <c r="G149" s="17">
        <v>-15375.831219873886</v>
      </c>
      <c r="H149" s="68">
        <f t="shared" si="1"/>
        <v>7.1573751750838523</v>
      </c>
    </row>
    <row r="150" spans="1:8" x14ac:dyDescent="0.2">
      <c r="A150" s="46">
        <v>199184</v>
      </c>
      <c r="B150" s="47">
        <v>88806</v>
      </c>
      <c r="C150" s="47">
        <v>66131</v>
      </c>
      <c r="E150" s="17">
        <v>124</v>
      </c>
      <c r="F150" s="17">
        <v>285632.65938942443</v>
      </c>
      <c r="G150" s="17">
        <v>-61926.659389424429</v>
      </c>
      <c r="H150" s="68">
        <f t="shared" si="1"/>
        <v>27.682162923401442</v>
      </c>
    </row>
    <row r="151" spans="1:8" x14ac:dyDescent="0.2">
      <c r="A151" s="46">
        <v>204164</v>
      </c>
      <c r="B151" s="47">
        <v>94664</v>
      </c>
      <c r="C151" s="47">
        <v>82101</v>
      </c>
      <c r="E151" s="17">
        <v>125</v>
      </c>
      <c r="F151" s="17">
        <v>288340.63019008603</v>
      </c>
      <c r="G151" s="17">
        <v>-38594.630190086027</v>
      </c>
      <c r="H151" s="68">
        <f t="shared" si="1"/>
        <v>15.453552885766349</v>
      </c>
    </row>
    <row r="152" spans="1:8" x14ac:dyDescent="0.2">
      <c r="A152" s="46">
        <v>191739</v>
      </c>
      <c r="B152" s="47">
        <v>103846</v>
      </c>
      <c r="C152" s="47">
        <v>92769</v>
      </c>
      <c r="E152" s="17">
        <v>126</v>
      </c>
      <c r="F152" s="17">
        <v>289004.08829804108</v>
      </c>
      <c r="G152" s="17">
        <v>-14183.088298041082</v>
      </c>
      <c r="H152" s="68">
        <f t="shared" si="1"/>
        <v>5.1608458953431811</v>
      </c>
    </row>
    <row r="153" spans="1:8" x14ac:dyDescent="0.2">
      <c r="A153" s="46">
        <v>220930</v>
      </c>
      <c r="B153" s="47">
        <v>108418</v>
      </c>
      <c r="C153" s="47">
        <v>112563</v>
      </c>
      <c r="E153" s="17">
        <v>127</v>
      </c>
      <c r="F153" s="17">
        <v>300827.81316810683</v>
      </c>
      <c r="G153" s="17">
        <v>-21154.813168106833</v>
      </c>
      <c r="H153" s="68">
        <f t="shared" si="1"/>
        <v>7.564124233696794</v>
      </c>
    </row>
    <row r="154" spans="1:8" x14ac:dyDescent="0.2">
      <c r="A154" s="46">
        <v>254850</v>
      </c>
      <c r="B154" s="47">
        <v>114116</v>
      </c>
      <c r="C154" s="47">
        <v>98381</v>
      </c>
      <c r="E154" s="17">
        <v>128</v>
      </c>
      <c r="F154" s="17">
        <v>289849.99885110569</v>
      </c>
      <c r="G154" s="17">
        <v>10086.001148894313</v>
      </c>
      <c r="H154" s="68">
        <f t="shared" si="1"/>
        <v>3.3627177627541585</v>
      </c>
    </row>
    <row r="155" spans="1:8" x14ac:dyDescent="0.2">
      <c r="A155" s="46">
        <v>266878</v>
      </c>
      <c r="B155" s="47">
        <v>104839</v>
      </c>
      <c r="C155" s="47">
        <v>133185</v>
      </c>
      <c r="E155" s="17">
        <v>129</v>
      </c>
      <c r="F155" s="17">
        <v>326727.44186476292</v>
      </c>
      <c r="G155" s="17">
        <v>1513.5581352370791</v>
      </c>
      <c r="H155" s="68">
        <f t="shared" si="1"/>
        <v>0.46111184624622731</v>
      </c>
    </row>
    <row r="156" spans="1:8" x14ac:dyDescent="0.2">
      <c r="A156" s="46">
        <v>247952</v>
      </c>
      <c r="B156" s="47">
        <v>117272</v>
      </c>
      <c r="C156" s="47">
        <v>106974</v>
      </c>
      <c r="E156" s="17">
        <v>130</v>
      </c>
      <c r="F156" s="17">
        <v>418567.68564338295</v>
      </c>
      <c r="G156" s="17">
        <v>-43167.685643382953</v>
      </c>
      <c r="H156" s="68">
        <f t="shared" ref="H156:H194" si="2">ABS((A131-F156)/A131)*100</f>
        <v>11.499117113314584</v>
      </c>
    </row>
    <row r="157" spans="1:8" x14ac:dyDescent="0.2">
      <c r="A157" s="46">
        <v>300913</v>
      </c>
      <c r="B157" s="47">
        <v>133241</v>
      </c>
      <c r="C157" s="47">
        <v>128744</v>
      </c>
      <c r="E157" s="17">
        <v>131</v>
      </c>
      <c r="F157" s="17">
        <v>404863.7893878179</v>
      </c>
      <c r="G157" s="17">
        <v>-27052.789387817902</v>
      </c>
      <c r="H157" s="68">
        <f t="shared" si="2"/>
        <v>7.1604027907651986</v>
      </c>
    </row>
    <row r="158" spans="1:8" x14ac:dyDescent="0.2">
      <c r="A158" s="46">
        <v>143881</v>
      </c>
      <c r="B158" s="47">
        <v>57169</v>
      </c>
      <c r="C158" s="47">
        <v>77226</v>
      </c>
      <c r="E158" s="17">
        <v>132</v>
      </c>
      <c r="F158" s="17">
        <v>409397.45215983549</v>
      </c>
      <c r="G158" s="17">
        <v>167.54784016450867</v>
      </c>
      <c r="H158" s="68">
        <f t="shared" si="2"/>
        <v>4.0908730034184722E-2</v>
      </c>
    </row>
    <row r="159" spans="1:8" x14ac:dyDescent="0.2">
      <c r="A159" s="46">
        <v>145268</v>
      </c>
      <c r="B159" s="47">
        <v>66689</v>
      </c>
      <c r="C159" s="47">
        <v>109230</v>
      </c>
      <c r="E159" s="17">
        <v>133</v>
      </c>
      <c r="F159" s="17">
        <v>152170.32360725431</v>
      </c>
      <c r="G159" s="17">
        <v>-22628.323607254308</v>
      </c>
      <c r="H159" s="68">
        <f t="shared" si="2"/>
        <v>17.46794368409806</v>
      </c>
    </row>
    <row r="160" spans="1:8" x14ac:dyDescent="0.2">
      <c r="A160" s="46">
        <v>176185</v>
      </c>
      <c r="B160" s="47">
        <v>76945</v>
      </c>
      <c r="C160" s="47">
        <v>105704</v>
      </c>
      <c r="E160" s="17">
        <v>134</v>
      </c>
      <c r="F160" s="17">
        <v>154305.17184369883</v>
      </c>
      <c r="G160" s="17">
        <v>-18634.17184369883</v>
      </c>
      <c r="H160" s="68">
        <f t="shared" si="2"/>
        <v>13.734823096828968</v>
      </c>
    </row>
    <row r="161" spans="1:8" x14ac:dyDescent="0.2">
      <c r="A161" s="46">
        <v>193746</v>
      </c>
      <c r="B161" s="47">
        <v>93794</v>
      </c>
      <c r="C161" s="47">
        <v>147709</v>
      </c>
      <c r="E161" s="17">
        <v>135</v>
      </c>
      <c r="F161" s="17">
        <v>175701.61968576597</v>
      </c>
      <c r="G161" s="17">
        <v>-32281.619685765967</v>
      </c>
      <c r="H161" s="68">
        <f t="shared" si="2"/>
        <v>22.508450485124783</v>
      </c>
    </row>
    <row r="162" spans="1:8" x14ac:dyDescent="0.2">
      <c r="A162" s="46">
        <v>217219</v>
      </c>
      <c r="B162" s="47">
        <v>90675</v>
      </c>
      <c r="C162" s="47">
        <v>133034</v>
      </c>
      <c r="E162" s="17">
        <v>136</v>
      </c>
      <c r="F162" s="17">
        <v>189858.97858069252</v>
      </c>
      <c r="G162" s="17">
        <v>-18792.978580692521</v>
      </c>
      <c r="H162" s="68">
        <f t="shared" si="2"/>
        <v>10.985805818042465</v>
      </c>
    </row>
    <row r="163" spans="1:8" x14ac:dyDescent="0.2">
      <c r="A163" s="46">
        <v>218581</v>
      </c>
      <c r="B163" s="47">
        <v>74374</v>
      </c>
      <c r="C163" s="47">
        <v>120917</v>
      </c>
      <c r="E163" s="17">
        <v>137</v>
      </c>
      <c r="F163" s="17">
        <v>187926.78059140823</v>
      </c>
      <c r="G163" s="17">
        <v>-33046.780591408227</v>
      </c>
      <c r="H163" s="68">
        <f t="shared" si="2"/>
        <v>21.337022592593122</v>
      </c>
    </row>
    <row r="164" spans="1:8" x14ac:dyDescent="0.2">
      <c r="A164" s="46">
        <v>244750</v>
      </c>
      <c r="B164" s="47">
        <v>104495</v>
      </c>
      <c r="C164" s="47">
        <v>164108</v>
      </c>
      <c r="E164" s="17">
        <v>138</v>
      </c>
      <c r="F164" s="17">
        <v>208194.63099879405</v>
      </c>
      <c r="G164" s="17">
        <v>-30466.630998794048</v>
      </c>
      <c r="H164" s="68">
        <f t="shared" si="2"/>
        <v>17.142279775158698</v>
      </c>
    </row>
    <row r="165" spans="1:8" x14ac:dyDescent="0.2">
      <c r="A165" s="46">
        <v>249889</v>
      </c>
      <c r="B165" s="47">
        <v>125279</v>
      </c>
      <c r="C165" s="47">
        <v>137469</v>
      </c>
      <c r="E165" s="17">
        <v>139</v>
      </c>
      <c r="F165" s="17">
        <v>174953.10217625852</v>
      </c>
      <c r="G165" s="17">
        <v>294.8978237414849</v>
      </c>
      <c r="H165" s="68">
        <f t="shared" si="2"/>
        <v>0.16827457302878487</v>
      </c>
    </row>
    <row r="166" spans="1:8" x14ac:dyDescent="0.2">
      <c r="A166" s="46">
        <v>262661</v>
      </c>
      <c r="B166" s="47">
        <v>99028</v>
      </c>
      <c r="C166" s="47">
        <v>275436</v>
      </c>
      <c r="E166" s="17">
        <v>140</v>
      </c>
      <c r="F166" s="17">
        <v>217759.94312694939</v>
      </c>
      <c r="G166" s="17">
        <v>-13678.943126949394</v>
      </c>
      <c r="H166" s="68">
        <f t="shared" si="2"/>
        <v>6.7027029105842271</v>
      </c>
    </row>
    <row r="167" spans="1:8" x14ac:dyDescent="0.2">
      <c r="A167" s="46">
        <v>297224</v>
      </c>
      <c r="B167" s="47">
        <v>122281</v>
      </c>
      <c r="C167" s="47">
        <v>222284</v>
      </c>
      <c r="E167" s="17">
        <v>141</v>
      </c>
      <c r="F167" s="17">
        <v>227675.84014221834</v>
      </c>
      <c r="G167" s="17">
        <v>15560.159857781662</v>
      </c>
      <c r="H167" s="68">
        <f t="shared" si="2"/>
        <v>6.3971451009643561</v>
      </c>
    </row>
    <row r="168" spans="1:8" x14ac:dyDescent="0.2">
      <c r="A168" s="46">
        <v>334222</v>
      </c>
      <c r="B168" s="47">
        <v>162971</v>
      </c>
      <c r="C168" s="47">
        <v>226387</v>
      </c>
      <c r="E168" s="17">
        <v>142</v>
      </c>
      <c r="F168" s="17">
        <v>285588.86542743398</v>
      </c>
      <c r="G168" s="17">
        <v>1958.1345725660212</v>
      </c>
      <c r="H168" s="68">
        <f t="shared" si="2"/>
        <v>0.68097896085371135</v>
      </c>
    </row>
    <row r="169" spans="1:8" ht="17" thickBot="1" x14ac:dyDescent="0.25">
      <c r="A169" s="48">
        <v>356606</v>
      </c>
      <c r="B169" s="49">
        <v>172911</v>
      </c>
      <c r="C169" s="49">
        <v>267491</v>
      </c>
      <c r="E169" s="17">
        <v>143</v>
      </c>
      <c r="F169" s="17">
        <v>298106.77774681192</v>
      </c>
      <c r="G169" s="17">
        <v>995.22225318808341</v>
      </c>
      <c r="H169" s="68">
        <f t="shared" si="2"/>
        <v>0.33273674304688144</v>
      </c>
    </row>
    <row r="170" spans="1:8" x14ac:dyDescent="0.2">
      <c r="E170" s="17">
        <v>144</v>
      </c>
      <c r="F170" s="17">
        <v>247198.09655820826</v>
      </c>
      <c r="G170" s="17">
        <v>37756.903441791743</v>
      </c>
      <c r="H170" s="68">
        <f t="shared" si="2"/>
        <v>13.250128420905666</v>
      </c>
    </row>
    <row r="171" spans="1:8" x14ac:dyDescent="0.2">
      <c r="E171" s="17">
        <v>145</v>
      </c>
      <c r="F171" s="17">
        <v>160944.1166194012</v>
      </c>
      <c r="G171" s="17">
        <v>-33110.116619401204</v>
      </c>
      <c r="H171" s="68">
        <f t="shared" si="2"/>
        <v>25.900868798129768</v>
      </c>
    </row>
    <row r="172" spans="1:8" x14ac:dyDescent="0.2">
      <c r="E172" s="17">
        <v>146</v>
      </c>
      <c r="F172" s="17">
        <v>160377.47103971051</v>
      </c>
      <c r="G172" s="17">
        <v>-9074.4710397105082</v>
      </c>
      <c r="H172" s="68">
        <f t="shared" si="2"/>
        <v>5.9975486538340341</v>
      </c>
    </row>
    <row r="173" spans="1:8" x14ac:dyDescent="0.2">
      <c r="E173" s="17">
        <v>147</v>
      </c>
      <c r="F173" s="17">
        <v>159116.46124431278</v>
      </c>
      <c r="G173" s="17">
        <v>1177.5387556872156</v>
      </c>
      <c r="H173" s="68">
        <f t="shared" si="2"/>
        <v>0.73461187298789454</v>
      </c>
    </row>
    <row r="174" spans="1:8" x14ac:dyDescent="0.2">
      <c r="E174" s="17">
        <v>148</v>
      </c>
      <c r="F174" s="17">
        <v>191027.98319092279</v>
      </c>
      <c r="G174" s="17">
        <v>-21540.983190922794</v>
      </c>
      <c r="H174" s="68">
        <f t="shared" si="2"/>
        <v>12.709519426813145</v>
      </c>
    </row>
    <row r="175" spans="1:8" x14ac:dyDescent="0.2">
      <c r="E175" s="17">
        <v>149</v>
      </c>
      <c r="F175" s="17">
        <v>208421.89476187358</v>
      </c>
      <c r="G175" s="17">
        <v>-9237.8947618735838</v>
      </c>
      <c r="H175" s="68">
        <f t="shared" si="2"/>
        <v>4.6378698900883526</v>
      </c>
    </row>
    <row r="176" spans="1:8" x14ac:dyDescent="0.2">
      <c r="E176" s="17">
        <v>150</v>
      </c>
      <c r="F176" s="17">
        <v>221686.45797503565</v>
      </c>
      <c r="G176" s="17">
        <v>-17522.45797503565</v>
      </c>
      <c r="H176" s="68">
        <f t="shared" si="2"/>
        <v>8.5825404944239203</v>
      </c>
    </row>
    <row r="177" spans="5:8" x14ac:dyDescent="0.2">
      <c r="E177" s="17">
        <v>151</v>
      </c>
      <c r="F177" s="17">
        <v>237425.80767226228</v>
      </c>
      <c r="G177" s="17">
        <v>-45686.807672262279</v>
      </c>
      <c r="H177" s="68">
        <f t="shared" si="2"/>
        <v>23.827602977100266</v>
      </c>
    </row>
    <row r="178" spans="5:8" x14ac:dyDescent="0.2">
      <c r="E178" s="17">
        <v>152</v>
      </c>
      <c r="F178" s="17">
        <v>250356.41023310338</v>
      </c>
      <c r="G178" s="17">
        <v>-29426.410233103379</v>
      </c>
      <c r="H178" s="68">
        <f t="shared" si="2"/>
        <v>13.319336546916844</v>
      </c>
    </row>
    <row r="179" spans="5:8" x14ac:dyDescent="0.2">
      <c r="E179" s="17">
        <v>153</v>
      </c>
      <c r="F179" s="17">
        <v>252807.31743280459</v>
      </c>
      <c r="G179" s="17">
        <v>2042.6825671954139</v>
      </c>
      <c r="H179" s="68">
        <f t="shared" si="2"/>
        <v>0.80152347153047443</v>
      </c>
    </row>
    <row r="180" spans="5:8" x14ac:dyDescent="0.2">
      <c r="E180" s="17">
        <v>154</v>
      </c>
      <c r="F180" s="17">
        <v>252936.91922882089</v>
      </c>
      <c r="G180" s="17">
        <v>13941.080771179113</v>
      </c>
      <c r="H180" s="68">
        <f t="shared" si="2"/>
        <v>5.2237654550690253</v>
      </c>
    </row>
    <row r="181" spans="5:8" x14ac:dyDescent="0.2">
      <c r="E181" s="17">
        <v>155</v>
      </c>
      <c r="F181" s="17">
        <v>259949.79246605613</v>
      </c>
      <c r="G181" s="17">
        <v>-11997.792466056126</v>
      </c>
      <c r="H181" s="68">
        <f t="shared" si="2"/>
        <v>4.8387560761986697</v>
      </c>
    </row>
    <row r="182" spans="5:8" x14ac:dyDescent="0.2">
      <c r="E182" s="17">
        <v>156</v>
      </c>
      <c r="F182" s="17">
        <v>288454.40900077694</v>
      </c>
      <c r="G182" s="17">
        <v>12458.590999223059</v>
      </c>
      <c r="H182" s="68">
        <f t="shared" si="2"/>
        <v>4.1402634645970959</v>
      </c>
    </row>
    <row r="183" spans="5:8" x14ac:dyDescent="0.2">
      <c r="E183" s="17">
        <v>157</v>
      </c>
      <c r="F183" s="17">
        <v>171021.32244732339</v>
      </c>
      <c r="G183" s="17">
        <v>-27140.322447323386</v>
      </c>
      <c r="H183" s="68">
        <f t="shared" si="2"/>
        <v>18.863034345968813</v>
      </c>
    </row>
    <row r="184" spans="5:8" x14ac:dyDescent="0.2">
      <c r="E184" s="17">
        <v>158</v>
      </c>
      <c r="F184" s="17">
        <v>194706.03203684548</v>
      </c>
      <c r="G184" s="17">
        <v>-49438.032036845485</v>
      </c>
      <c r="H184" s="68">
        <f t="shared" si="2"/>
        <v>34.032293441670213</v>
      </c>
    </row>
    <row r="185" spans="5:8" x14ac:dyDescent="0.2">
      <c r="E185" s="17">
        <v>159</v>
      </c>
      <c r="F185" s="17">
        <v>206855.33469868486</v>
      </c>
      <c r="G185" s="17">
        <v>-30670.334698684863</v>
      </c>
      <c r="H185" s="68">
        <f t="shared" si="2"/>
        <v>17.408028321755463</v>
      </c>
    </row>
    <row r="186" spans="5:8" x14ac:dyDescent="0.2">
      <c r="E186" s="17">
        <v>160</v>
      </c>
      <c r="F186" s="17">
        <v>243625.67087845868</v>
      </c>
      <c r="G186" s="17">
        <v>-49879.670878458681</v>
      </c>
      <c r="H186" s="68">
        <f t="shared" si="2"/>
        <v>25.744877767003544</v>
      </c>
    </row>
    <row r="187" spans="5:8" x14ac:dyDescent="0.2">
      <c r="E187" s="17">
        <v>161</v>
      </c>
      <c r="F187" s="17">
        <v>234392.3974027292</v>
      </c>
      <c r="G187" s="17">
        <v>-17173.397402729199</v>
      </c>
      <c r="H187" s="68">
        <f t="shared" si="2"/>
        <v>7.9060291239390654</v>
      </c>
    </row>
    <row r="188" spans="5:8" x14ac:dyDescent="0.2">
      <c r="E188" s="17">
        <v>162</v>
      </c>
      <c r="F188" s="17">
        <v>208849.40822081885</v>
      </c>
      <c r="G188" s="17">
        <v>9731.5917791811517</v>
      </c>
      <c r="H188" s="68">
        <f t="shared" si="2"/>
        <v>4.452167287724528</v>
      </c>
    </row>
    <row r="189" spans="5:8" x14ac:dyDescent="0.2">
      <c r="E189" s="17">
        <v>163</v>
      </c>
      <c r="F189" s="17">
        <v>263363.76088775933</v>
      </c>
      <c r="G189" s="17">
        <v>-18613.76088775933</v>
      </c>
      <c r="H189" s="68">
        <f t="shared" si="2"/>
        <v>7.6052138458669374</v>
      </c>
    </row>
    <row r="190" spans="5:8" x14ac:dyDescent="0.2">
      <c r="E190" s="17">
        <v>164</v>
      </c>
      <c r="F190" s="17">
        <v>281128.51625615254</v>
      </c>
      <c r="G190" s="17">
        <v>-31239.516256152536</v>
      </c>
      <c r="H190" s="68">
        <f t="shared" si="2"/>
        <v>12.501357105015643</v>
      </c>
    </row>
    <row r="191" spans="5:8" x14ac:dyDescent="0.2">
      <c r="E191" s="17">
        <v>165</v>
      </c>
      <c r="F191" s="17">
        <v>295381.6894412901</v>
      </c>
      <c r="G191" s="17">
        <v>-32720.689441290102</v>
      </c>
      <c r="H191" s="68">
        <f t="shared" si="2"/>
        <v>12.457384020197175</v>
      </c>
    </row>
    <row r="192" spans="5:8" x14ac:dyDescent="0.2">
      <c r="E192" s="17">
        <v>166</v>
      </c>
      <c r="F192" s="17">
        <v>307044.88033158344</v>
      </c>
      <c r="G192" s="17">
        <v>-9820.8803315834375</v>
      </c>
      <c r="H192" s="68">
        <f t="shared" si="2"/>
        <v>3.3042016565228369</v>
      </c>
    </row>
    <row r="193" spans="5:8" x14ac:dyDescent="0.2">
      <c r="E193" s="17">
        <v>167</v>
      </c>
      <c r="F193" s="17">
        <v>361609.63819497469</v>
      </c>
      <c r="G193" s="17">
        <v>-27387.638194974686</v>
      </c>
      <c r="H193" s="68">
        <f t="shared" si="2"/>
        <v>8.1944450679412757</v>
      </c>
    </row>
    <row r="194" spans="5:8" ht="17" thickBot="1" x14ac:dyDescent="0.25">
      <c r="E194" s="18">
        <v>168</v>
      </c>
      <c r="F194" s="18">
        <v>389043.23181777983</v>
      </c>
      <c r="G194" s="18">
        <v>-32437.23181777983</v>
      </c>
      <c r="H194" s="69">
        <f t="shared" si="2"/>
        <v>9.096098163738084</v>
      </c>
    </row>
    <row r="195" spans="5:8" ht="17" thickBot="1" x14ac:dyDescent="0.25">
      <c r="F195" s="124" t="s">
        <v>63</v>
      </c>
      <c r="G195" s="125"/>
      <c r="H195" s="73">
        <f>AVERAGE(H27:H194)</f>
        <v>9.2745964279575759</v>
      </c>
    </row>
  </sheetData>
  <mergeCells count="9">
    <mergeCell ref="F195:G195"/>
    <mergeCell ref="H6:L7"/>
    <mergeCell ref="O17:P17"/>
    <mergeCell ref="T17:U23"/>
    <mergeCell ref="Q17:S17"/>
    <mergeCell ref="O19:Q23"/>
    <mergeCell ref="R19:S23"/>
    <mergeCell ref="H9:L9"/>
    <mergeCell ref="I22:M22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83D96D-31CA-4441-AC5A-24617D5791C8}">
  <dimension ref="A1:W196"/>
  <sheetViews>
    <sheetView topLeftCell="M9" zoomScale="185" workbookViewId="0">
      <selection activeCell="P18" sqref="P18"/>
    </sheetView>
  </sheetViews>
  <sheetFormatPr baseColWidth="10" defaultRowHeight="16" x14ac:dyDescent="0.2"/>
  <cols>
    <col min="1" max="4" width="10.83203125" style="40"/>
    <col min="6" max="6" width="24.83203125" bestFit="1" customWidth="1"/>
    <col min="7" max="7" width="16.33203125" bestFit="1" customWidth="1"/>
    <col min="8" max="8" width="21.5" bestFit="1" customWidth="1"/>
    <col min="9" max="9" width="20.1640625" bestFit="1" customWidth="1"/>
    <col min="10" max="10" width="14.1640625" customWidth="1"/>
    <col min="11" max="11" width="15.33203125" customWidth="1"/>
    <col min="12" max="12" width="15.5" customWidth="1"/>
    <col min="13" max="13" width="15.6640625" customWidth="1"/>
    <col min="14" max="14" width="16.83203125" customWidth="1"/>
    <col min="16" max="16" width="14" customWidth="1"/>
    <col min="17" max="17" width="13.83203125" customWidth="1"/>
    <col min="18" max="18" width="15" customWidth="1"/>
    <col min="19" max="19" width="10.6640625" customWidth="1"/>
    <col min="20" max="20" width="11.33203125" customWidth="1"/>
    <col min="21" max="21" width="11.83203125" customWidth="1"/>
  </cols>
  <sheetData>
    <row r="1" spans="1:13" ht="17" thickBot="1" x14ac:dyDescent="0.25">
      <c r="A1" s="24" t="s">
        <v>22</v>
      </c>
      <c r="B1" s="25" t="s">
        <v>23</v>
      </c>
      <c r="C1" s="25" t="s">
        <v>24</v>
      </c>
      <c r="D1" s="24" t="s">
        <v>25</v>
      </c>
    </row>
    <row r="2" spans="1:13" x14ac:dyDescent="0.2">
      <c r="A2" s="38">
        <v>163139</v>
      </c>
      <c r="B2" s="39">
        <v>62643</v>
      </c>
      <c r="C2" s="39">
        <v>63293</v>
      </c>
      <c r="D2" s="50">
        <v>103.1</v>
      </c>
      <c r="F2" t="s">
        <v>27</v>
      </c>
    </row>
    <row r="3" spans="1:13" ht="17" thickBot="1" x14ac:dyDescent="0.25">
      <c r="A3" s="38">
        <v>182664</v>
      </c>
      <c r="B3" s="39">
        <v>72704</v>
      </c>
      <c r="C3" s="39">
        <v>52978</v>
      </c>
      <c r="D3" s="50">
        <v>103.3</v>
      </c>
    </row>
    <row r="4" spans="1:13" x14ac:dyDescent="0.2">
      <c r="A4" s="38">
        <v>192261</v>
      </c>
      <c r="B4" s="39">
        <v>81669</v>
      </c>
      <c r="C4" s="39">
        <v>54020</v>
      </c>
      <c r="D4" s="50">
        <v>101.3</v>
      </c>
      <c r="F4" s="26" t="s">
        <v>28</v>
      </c>
      <c r="G4" s="26"/>
    </row>
    <row r="5" spans="1:13" ht="17" thickBot="1" x14ac:dyDescent="0.25">
      <c r="A5" s="38">
        <v>198394</v>
      </c>
      <c r="B5" s="39">
        <v>87792</v>
      </c>
      <c r="C5" s="39">
        <v>71826</v>
      </c>
      <c r="D5" s="50">
        <v>98.9</v>
      </c>
      <c r="F5" s="17" t="s">
        <v>29</v>
      </c>
      <c r="G5" s="17">
        <v>0.92908577806632975</v>
      </c>
    </row>
    <row r="6" spans="1:13" x14ac:dyDescent="0.2">
      <c r="A6" s="38">
        <v>230837</v>
      </c>
      <c r="B6" s="39">
        <v>106131</v>
      </c>
      <c r="C6" s="39">
        <v>87050</v>
      </c>
      <c r="D6" s="50">
        <v>107.2</v>
      </c>
      <c r="F6" s="17" t="s">
        <v>30</v>
      </c>
      <c r="G6" s="17">
        <v>0.86320038300511726</v>
      </c>
      <c r="H6" s="67">
        <f>G6</f>
        <v>0.86320038300511726</v>
      </c>
      <c r="I6" s="126" t="s">
        <v>84</v>
      </c>
      <c r="J6" s="127"/>
      <c r="K6" s="127"/>
      <c r="L6" s="127"/>
      <c r="M6" s="128"/>
    </row>
    <row r="7" spans="1:13" ht="17" thickBot="1" x14ac:dyDescent="0.25">
      <c r="A7" s="38">
        <v>237094</v>
      </c>
      <c r="B7" s="39">
        <v>89359</v>
      </c>
      <c r="C7" s="39">
        <v>91321</v>
      </c>
      <c r="D7" s="50">
        <v>106</v>
      </c>
      <c r="F7" s="17" t="s">
        <v>31</v>
      </c>
      <c r="G7" s="17">
        <v>0.86069795098691826</v>
      </c>
      <c r="H7" s="27"/>
      <c r="I7" s="129"/>
      <c r="J7" s="130"/>
      <c r="K7" s="130"/>
      <c r="L7" s="130"/>
      <c r="M7" s="131"/>
    </row>
    <row r="8" spans="1:13" ht="17" thickBot="1" x14ac:dyDescent="0.25">
      <c r="A8" s="38">
        <v>243098</v>
      </c>
      <c r="B8" s="39">
        <v>106199</v>
      </c>
      <c r="C8" s="39">
        <v>95031</v>
      </c>
      <c r="D8" s="50">
        <v>101.3</v>
      </c>
      <c r="F8" s="17" t="s">
        <v>32</v>
      </c>
      <c r="G8" s="17">
        <v>25524.992405934318</v>
      </c>
    </row>
    <row r="9" spans="1:13" ht="28" customHeight="1" thickBot="1" x14ac:dyDescent="0.25">
      <c r="A9" s="38">
        <v>263853</v>
      </c>
      <c r="B9" s="39">
        <v>110381</v>
      </c>
      <c r="C9" s="39">
        <v>100551</v>
      </c>
      <c r="D9" s="50">
        <v>103.3</v>
      </c>
      <c r="F9" s="18" t="s">
        <v>33</v>
      </c>
      <c r="G9" s="18">
        <v>168</v>
      </c>
      <c r="I9" s="159" t="s">
        <v>62</v>
      </c>
      <c r="J9" s="160"/>
      <c r="K9" s="160"/>
      <c r="L9" s="160"/>
      <c r="M9" s="161"/>
    </row>
    <row r="10" spans="1:13" ht="17" thickBot="1" x14ac:dyDescent="0.25">
      <c r="A10" s="38">
        <v>344889</v>
      </c>
      <c r="B10" s="39">
        <v>192377</v>
      </c>
      <c r="C10" s="39">
        <v>110988</v>
      </c>
      <c r="D10" s="50">
        <v>110.7</v>
      </c>
      <c r="I10" s="55" t="s">
        <v>55</v>
      </c>
      <c r="J10" s="56">
        <f>_xlfn.F.INV.RT(0.05, G13,G14)</f>
        <v>2.6597201844562259</v>
      </c>
      <c r="K10" s="57" t="s">
        <v>57</v>
      </c>
      <c r="L10" s="58">
        <f>J13</f>
        <v>344.94458859519256</v>
      </c>
      <c r="M10" s="59" t="s">
        <v>56</v>
      </c>
    </row>
    <row r="11" spans="1:13" ht="17" thickBot="1" x14ac:dyDescent="0.25">
      <c r="A11" s="38">
        <v>308017</v>
      </c>
      <c r="B11" s="39">
        <v>137104</v>
      </c>
      <c r="C11" s="39">
        <v>110396</v>
      </c>
      <c r="D11" s="50">
        <v>102.4</v>
      </c>
      <c r="F11" t="s">
        <v>34</v>
      </c>
    </row>
    <row r="12" spans="1:13" x14ac:dyDescent="0.2">
      <c r="A12" s="38">
        <v>336226</v>
      </c>
      <c r="B12" s="39">
        <v>137874</v>
      </c>
      <c r="C12" s="39">
        <v>91037</v>
      </c>
      <c r="D12" s="50">
        <v>99.9</v>
      </c>
      <c r="F12" s="19"/>
      <c r="G12" s="19" t="s">
        <v>39</v>
      </c>
      <c r="H12" s="19" t="s">
        <v>40</v>
      </c>
      <c r="I12" s="19" t="s">
        <v>41</v>
      </c>
      <c r="J12" s="19" t="s">
        <v>42</v>
      </c>
      <c r="K12" s="19" t="s">
        <v>43</v>
      </c>
    </row>
    <row r="13" spans="1:13" x14ac:dyDescent="0.2">
      <c r="A13" s="38">
        <v>347671</v>
      </c>
      <c r="B13" s="39">
        <v>158034</v>
      </c>
      <c r="C13" s="39">
        <v>127609</v>
      </c>
      <c r="D13" s="50">
        <v>103.2</v>
      </c>
      <c r="F13" s="17" t="s">
        <v>35</v>
      </c>
      <c r="G13" s="17">
        <v>3</v>
      </c>
      <c r="H13" s="17">
        <v>674220314843.30701</v>
      </c>
      <c r="I13" s="17">
        <v>224740104947.76901</v>
      </c>
      <c r="J13" s="17">
        <v>344.94458859519256</v>
      </c>
      <c r="K13" s="17">
        <v>1.3764808569391023E-70</v>
      </c>
    </row>
    <row r="14" spans="1:13" x14ac:dyDescent="0.2">
      <c r="A14" s="38">
        <v>185894</v>
      </c>
      <c r="B14" s="39">
        <v>119974</v>
      </c>
      <c r="C14" s="39">
        <v>64531</v>
      </c>
      <c r="D14" s="50">
        <v>101.8</v>
      </c>
      <c r="F14" s="17" t="s">
        <v>36</v>
      </c>
      <c r="G14" s="17">
        <v>164</v>
      </c>
      <c r="H14" s="17">
        <v>106850138920.97275</v>
      </c>
      <c r="I14" s="17">
        <v>651525237.3230046</v>
      </c>
      <c r="J14" s="17"/>
      <c r="K14" s="17"/>
    </row>
    <row r="15" spans="1:13" ht="17" thickBot="1" x14ac:dyDescent="0.25">
      <c r="A15" s="38">
        <v>200502</v>
      </c>
      <c r="B15" s="39">
        <v>113680</v>
      </c>
      <c r="C15" s="39">
        <v>58025</v>
      </c>
      <c r="D15" s="50">
        <v>102.8</v>
      </c>
      <c r="F15" s="18" t="s">
        <v>37</v>
      </c>
      <c r="G15" s="18">
        <v>167</v>
      </c>
      <c r="H15" s="18">
        <v>781070453764.27979</v>
      </c>
      <c r="I15" s="18"/>
      <c r="J15" s="18"/>
      <c r="K15" s="18"/>
    </row>
    <row r="16" spans="1:13" ht="17" thickBot="1" x14ac:dyDescent="0.25">
      <c r="A16" s="38">
        <v>203717</v>
      </c>
      <c r="B16" s="39">
        <v>108532</v>
      </c>
      <c r="C16" s="39">
        <v>68453</v>
      </c>
      <c r="D16" s="50">
        <v>99.1</v>
      </c>
    </row>
    <row r="17" spans="1:23" x14ac:dyDescent="0.2">
      <c r="A17" s="38">
        <v>232325</v>
      </c>
      <c r="B17" s="39">
        <v>121353</v>
      </c>
      <c r="C17" s="39">
        <v>62429</v>
      </c>
      <c r="D17" s="50">
        <v>98.2</v>
      </c>
      <c r="F17" s="19"/>
      <c r="G17" s="19" t="s">
        <v>44</v>
      </c>
      <c r="H17" s="19" t="s">
        <v>32</v>
      </c>
      <c r="I17" s="19" t="s">
        <v>45</v>
      </c>
      <c r="J17" s="19" t="s">
        <v>46</v>
      </c>
      <c r="K17" s="19" t="s">
        <v>47</v>
      </c>
      <c r="L17" s="19" t="s">
        <v>48</v>
      </c>
      <c r="M17" s="19" t="s">
        <v>49</v>
      </c>
      <c r="N17" s="19" t="s">
        <v>50</v>
      </c>
    </row>
    <row r="18" spans="1:23" x14ac:dyDescent="0.2">
      <c r="A18" s="38">
        <v>226590</v>
      </c>
      <c r="B18" s="39">
        <v>114942</v>
      </c>
      <c r="C18" s="39">
        <v>70328</v>
      </c>
      <c r="D18" s="50">
        <v>104</v>
      </c>
      <c r="F18" s="17" t="s">
        <v>38</v>
      </c>
      <c r="G18" s="17">
        <v>-91213.514098866086</v>
      </c>
      <c r="H18" s="17">
        <v>67168.352358905293</v>
      </c>
      <c r="I18" s="17">
        <v>-1.3579834981134957</v>
      </c>
      <c r="J18" s="17">
        <v>0.17633428530280978</v>
      </c>
      <c r="K18" s="17">
        <v>-223839.74823496977</v>
      </c>
      <c r="L18" s="17">
        <v>41412.720037237596</v>
      </c>
      <c r="M18" s="17">
        <v>-223839.74823496977</v>
      </c>
      <c r="N18" s="17">
        <v>41412.720037237596</v>
      </c>
    </row>
    <row r="19" spans="1:23" ht="17" thickBot="1" x14ac:dyDescent="0.25">
      <c r="A19" s="38">
        <v>265320</v>
      </c>
      <c r="B19" s="39">
        <v>150227</v>
      </c>
      <c r="C19" s="39">
        <v>93121</v>
      </c>
      <c r="D19" s="50">
        <v>102.4</v>
      </c>
      <c r="F19" s="17" t="s">
        <v>23</v>
      </c>
      <c r="G19" s="17">
        <v>1.295586156336014</v>
      </c>
      <c r="H19" s="17">
        <v>5.2932642814742407E-2</v>
      </c>
      <c r="I19" s="17">
        <v>24.476128291391053</v>
      </c>
      <c r="J19" s="17">
        <v>1.236218143161258E-56</v>
      </c>
      <c r="K19" s="17">
        <v>1.1910688229067385</v>
      </c>
      <c r="L19" s="17">
        <v>1.4001034897652895</v>
      </c>
      <c r="M19" s="17">
        <v>1.1910688229067385</v>
      </c>
      <c r="N19" s="17">
        <v>1.4001034897652895</v>
      </c>
      <c r="V19" s="45"/>
      <c r="W19" s="97"/>
    </row>
    <row r="20" spans="1:23" ht="17" thickBot="1" x14ac:dyDescent="0.25">
      <c r="A20" s="38">
        <v>271705</v>
      </c>
      <c r="B20" s="39">
        <v>152834</v>
      </c>
      <c r="C20" s="39">
        <v>67880</v>
      </c>
      <c r="D20" s="50">
        <v>106.3</v>
      </c>
      <c r="F20" s="17" t="s">
        <v>24</v>
      </c>
      <c r="G20" s="17">
        <v>0.35465354004571248</v>
      </c>
      <c r="H20" s="17">
        <v>5.0030356308165568E-2</v>
      </c>
      <c r="I20" s="17">
        <v>7.088767024987761</v>
      </c>
      <c r="J20" s="17">
        <v>3.8209543858917411E-11</v>
      </c>
      <c r="K20" s="17">
        <v>0.25586687167272038</v>
      </c>
      <c r="L20" s="17">
        <v>0.45344020841870458</v>
      </c>
      <c r="M20" s="17">
        <v>0.25586687167272038</v>
      </c>
      <c r="N20" s="17">
        <v>0.45344020841870458</v>
      </c>
      <c r="P20" s="167" t="s">
        <v>100</v>
      </c>
      <c r="Q20" s="168"/>
      <c r="R20" s="175" t="s">
        <v>115</v>
      </c>
      <c r="S20" s="176"/>
      <c r="T20" s="176"/>
      <c r="U20" s="177"/>
      <c r="V20" s="169" t="s">
        <v>108</v>
      </c>
      <c r="W20" s="170"/>
    </row>
    <row r="21" spans="1:23" ht="17" thickBot="1" x14ac:dyDescent="0.25">
      <c r="A21" s="38">
        <v>300139</v>
      </c>
      <c r="B21" s="39">
        <v>154299</v>
      </c>
      <c r="C21" s="39">
        <v>120034</v>
      </c>
      <c r="D21" s="50">
        <v>104.6</v>
      </c>
      <c r="F21" s="18" t="s">
        <v>25</v>
      </c>
      <c r="G21" s="18">
        <v>1577.7796194192981</v>
      </c>
      <c r="H21" s="18">
        <v>658.31519923443068</v>
      </c>
      <c r="I21" s="18">
        <v>2.3966932880391232</v>
      </c>
      <c r="J21" s="18">
        <v>1.7668775607694094E-2</v>
      </c>
      <c r="K21" s="18">
        <v>277.91349671775401</v>
      </c>
      <c r="L21" s="18">
        <v>2877.6457421208424</v>
      </c>
      <c r="M21" s="18">
        <v>277.91349671775401</v>
      </c>
      <c r="N21" s="18">
        <v>2877.6457421208424</v>
      </c>
      <c r="P21" s="45"/>
      <c r="Q21" s="45"/>
      <c r="R21" s="45"/>
      <c r="S21" s="45"/>
      <c r="T21" s="45"/>
      <c r="V21" s="171"/>
      <c r="W21" s="172"/>
    </row>
    <row r="22" spans="1:23" ht="20" customHeight="1" thickBot="1" x14ac:dyDescent="0.25">
      <c r="A22" s="38">
        <v>345916</v>
      </c>
      <c r="B22" s="39">
        <v>196541</v>
      </c>
      <c r="C22" s="39">
        <v>136077</v>
      </c>
      <c r="D22" s="50">
        <v>102.1</v>
      </c>
      <c r="P22" s="178" t="s">
        <v>104</v>
      </c>
      <c r="Q22" s="179"/>
      <c r="R22" s="178" t="s">
        <v>105</v>
      </c>
      <c r="S22" s="179"/>
      <c r="T22" s="169" t="s">
        <v>106</v>
      </c>
      <c r="U22" s="184"/>
      <c r="V22" s="171"/>
      <c r="W22" s="172"/>
    </row>
    <row r="23" spans="1:23" ht="17" thickBot="1" x14ac:dyDescent="0.25">
      <c r="A23" s="38">
        <v>330615</v>
      </c>
      <c r="B23" s="39">
        <v>187838</v>
      </c>
      <c r="C23" s="39">
        <v>105521</v>
      </c>
      <c r="D23" s="50">
        <v>107.5</v>
      </c>
      <c r="I23" s="45"/>
      <c r="J23" s="162" t="s">
        <v>65</v>
      </c>
      <c r="K23" s="163"/>
      <c r="L23" s="163"/>
      <c r="M23" s="163"/>
      <c r="N23" s="164"/>
      <c r="P23" s="180"/>
      <c r="Q23" s="181"/>
      <c r="R23" s="180"/>
      <c r="S23" s="181"/>
      <c r="T23" s="171"/>
      <c r="U23" s="185"/>
      <c r="V23" s="171"/>
      <c r="W23" s="172"/>
    </row>
    <row r="24" spans="1:23" ht="17" thickBot="1" x14ac:dyDescent="0.25">
      <c r="A24" s="38">
        <v>400393</v>
      </c>
      <c r="B24" s="39">
        <v>221856</v>
      </c>
      <c r="C24" s="39">
        <v>190033</v>
      </c>
      <c r="D24" s="50">
        <v>99.5</v>
      </c>
      <c r="I24" s="60" t="s">
        <v>23</v>
      </c>
      <c r="J24" s="33" t="s">
        <v>58</v>
      </c>
      <c r="K24" s="34">
        <f>I19</f>
        <v>24.476128291391053</v>
      </c>
      <c r="L24" s="61" t="s">
        <v>60</v>
      </c>
      <c r="M24" s="35">
        <f>_xlfn.T.INV.2T(0.05,G15)</f>
        <v>1.9742709570280526</v>
      </c>
      <c r="N24" s="36" t="s">
        <v>59</v>
      </c>
      <c r="P24" s="180"/>
      <c r="Q24" s="181"/>
      <c r="R24" s="180"/>
      <c r="S24" s="181"/>
      <c r="T24" s="171"/>
      <c r="U24" s="185"/>
      <c r="V24" s="171"/>
      <c r="W24" s="172"/>
    </row>
    <row r="25" spans="1:23" ht="17" thickBot="1" x14ac:dyDescent="0.25">
      <c r="A25" s="38">
        <v>372222</v>
      </c>
      <c r="B25" s="39">
        <v>186830</v>
      </c>
      <c r="C25" s="39">
        <v>117333</v>
      </c>
      <c r="D25" s="50">
        <v>96.9</v>
      </c>
      <c r="F25" t="s">
        <v>51</v>
      </c>
      <c r="I25" s="60" t="s">
        <v>24</v>
      </c>
      <c r="J25" s="33" t="s">
        <v>58</v>
      </c>
      <c r="K25" s="37">
        <f>I20</f>
        <v>7.088767024987761</v>
      </c>
      <c r="L25" s="62" t="s">
        <v>60</v>
      </c>
      <c r="M25" s="35">
        <f>_xlfn.T.INV.2T(0.05,G15)</f>
        <v>1.9742709570280526</v>
      </c>
      <c r="N25" s="36" t="s">
        <v>59</v>
      </c>
      <c r="P25" s="180"/>
      <c r="Q25" s="181"/>
      <c r="R25" s="180"/>
      <c r="S25" s="181"/>
      <c r="T25" s="171"/>
      <c r="U25" s="185"/>
      <c r="V25" s="171"/>
      <c r="W25" s="172"/>
    </row>
    <row r="26" spans="1:23" ht="17" thickBot="1" x14ac:dyDescent="0.25">
      <c r="A26" s="38">
        <v>123659</v>
      </c>
      <c r="B26" s="39">
        <v>52098</v>
      </c>
      <c r="C26" s="39">
        <v>16384</v>
      </c>
      <c r="D26" s="50">
        <v>106.5</v>
      </c>
      <c r="I26" s="60" t="s">
        <v>25</v>
      </c>
      <c r="J26" s="33" t="s">
        <v>58</v>
      </c>
      <c r="K26" s="37">
        <f>I21</f>
        <v>2.3966932880391232</v>
      </c>
      <c r="L26" s="62" t="s">
        <v>60</v>
      </c>
      <c r="M26" s="35">
        <f>_xlfn.T.INV.2T(0.05,G15)</f>
        <v>1.9742709570280526</v>
      </c>
      <c r="N26" s="36" t="s">
        <v>59</v>
      </c>
      <c r="P26" s="182"/>
      <c r="Q26" s="183"/>
      <c r="R26" s="182"/>
      <c r="S26" s="183"/>
      <c r="T26" s="186"/>
      <c r="U26" s="187"/>
      <c r="V26" s="173"/>
      <c r="W26" s="174"/>
    </row>
    <row r="27" spans="1:23" x14ac:dyDescent="0.2">
      <c r="A27" s="38">
        <v>113761</v>
      </c>
      <c r="B27" s="39">
        <v>55375</v>
      </c>
      <c r="C27" s="39">
        <v>14200</v>
      </c>
      <c r="D27" s="50">
        <v>101.9</v>
      </c>
      <c r="F27" s="19" t="s">
        <v>52</v>
      </c>
      <c r="G27" s="19" t="s">
        <v>53</v>
      </c>
      <c r="H27" s="19" t="s">
        <v>54</v>
      </c>
      <c r="I27" s="74" t="s">
        <v>64</v>
      </c>
    </row>
    <row r="28" spans="1:23" x14ac:dyDescent="0.2">
      <c r="A28" s="38">
        <v>154926</v>
      </c>
      <c r="B28" s="39">
        <v>65737</v>
      </c>
      <c r="C28" s="39">
        <v>19886</v>
      </c>
      <c r="D28" s="50">
        <v>95.6</v>
      </c>
      <c r="F28" s="17">
        <v>1</v>
      </c>
      <c r="G28" s="17">
        <v>175062.05476473374</v>
      </c>
      <c r="H28" s="17">
        <v>-11923.054764733737</v>
      </c>
      <c r="I28">
        <f>ABS((A2-G28)/A2)*100</f>
        <v>7.3085251011307761</v>
      </c>
    </row>
    <row r="29" spans="1:23" x14ac:dyDescent="0.2">
      <c r="A29" s="38">
        <v>161262</v>
      </c>
      <c r="B29" s="39">
        <v>86686</v>
      </c>
      <c r="C29" s="39">
        <v>16536</v>
      </c>
      <c r="D29" s="50">
        <v>100.1</v>
      </c>
      <c r="F29" s="17">
        <v>2</v>
      </c>
      <c r="G29" s="17">
        <v>184754.25174194272</v>
      </c>
      <c r="H29" s="17">
        <v>-2090.2517419427168</v>
      </c>
      <c r="I29">
        <f t="shared" ref="I29:I92" si="0">ABS((A3-G29)/A3)*100</f>
        <v>1.1443151042037385</v>
      </c>
    </row>
    <row r="30" spans="1:23" x14ac:dyDescent="0.2">
      <c r="A30" s="38">
        <v>174894</v>
      </c>
      <c r="B30" s="39">
        <v>72903</v>
      </c>
      <c r="C30" s="39">
        <v>22776</v>
      </c>
      <c r="D30" s="50">
        <v>106.1</v>
      </c>
      <c r="F30" s="17">
        <v>3</v>
      </c>
      <c r="G30" s="17">
        <v>193583.17138338415</v>
      </c>
      <c r="H30" s="17">
        <v>-1322.1713833841495</v>
      </c>
      <c r="I30">
        <f t="shared" si="0"/>
        <v>0.68769609197088821</v>
      </c>
    </row>
    <row r="31" spans="1:23" x14ac:dyDescent="0.2">
      <c r="A31" s="38">
        <v>183623</v>
      </c>
      <c r="B31" s="39">
        <v>79308</v>
      </c>
      <c r="C31" s="39">
        <v>21066</v>
      </c>
      <c r="D31" s="50">
        <v>97.9</v>
      </c>
      <c r="F31" s="17">
        <v>4</v>
      </c>
      <c r="G31" s="17">
        <v>204044.33526607719</v>
      </c>
      <c r="H31" s="17">
        <v>-5650.3352660771925</v>
      </c>
      <c r="I31">
        <f t="shared" si="0"/>
        <v>2.8480373731449502</v>
      </c>
    </row>
    <row r="32" spans="1:23" x14ac:dyDescent="0.2">
      <c r="A32" s="38">
        <v>213288</v>
      </c>
      <c r="B32" s="39">
        <v>113814</v>
      </c>
      <c r="C32" s="39">
        <v>21783</v>
      </c>
      <c r="D32" s="50">
        <v>104.1</v>
      </c>
      <c r="F32" s="17">
        <v>5</v>
      </c>
      <c r="G32" s="17">
        <v>246298.90612195944</v>
      </c>
      <c r="H32" s="17">
        <v>-15461.906121959444</v>
      </c>
      <c r="I32">
        <f t="shared" si="0"/>
        <v>6.698192283715108</v>
      </c>
    </row>
    <row r="33" spans="1:9" x14ac:dyDescent="0.2">
      <c r="A33" s="38">
        <v>206164</v>
      </c>
      <c r="B33" s="39">
        <v>117073</v>
      </c>
      <c r="C33" s="39">
        <v>29029</v>
      </c>
      <c r="D33" s="50">
        <v>99</v>
      </c>
      <c r="F33" s="17">
        <v>6</v>
      </c>
      <c r="G33" s="17">
        <v>224190.72483412392</v>
      </c>
      <c r="H33" s="17">
        <v>12903.275165876083</v>
      </c>
      <c r="I33">
        <f t="shared" si="0"/>
        <v>5.4422613671691744</v>
      </c>
    </row>
    <row r="34" spans="1:9" x14ac:dyDescent="0.2">
      <c r="A34" s="38">
        <v>233620</v>
      </c>
      <c r="B34" s="39">
        <v>127428</v>
      </c>
      <c r="C34" s="39">
        <v>22722</v>
      </c>
      <c r="D34" s="50">
        <v>103.2</v>
      </c>
      <c r="F34" s="17">
        <v>7</v>
      </c>
      <c r="G34" s="17">
        <v>239908.59612912126</v>
      </c>
      <c r="H34" s="17">
        <v>3189.4038708787411</v>
      </c>
      <c r="I34">
        <f t="shared" si="0"/>
        <v>1.3119827686277719</v>
      </c>
    </row>
    <row r="35" spans="1:9" x14ac:dyDescent="0.2">
      <c r="A35" s="38">
        <v>245279</v>
      </c>
      <c r="B35" s="39">
        <v>125317</v>
      </c>
      <c r="C35" s="39">
        <v>33385</v>
      </c>
      <c r="D35" s="50">
        <v>102.9</v>
      </c>
      <c r="F35" s="17">
        <v>8</v>
      </c>
      <c r="G35" s="17">
        <v>250439.9842148094</v>
      </c>
      <c r="H35" s="17">
        <v>13413.015785190597</v>
      </c>
      <c r="I35">
        <f t="shared" si="0"/>
        <v>5.0835183928894487</v>
      </c>
    </row>
    <row r="36" spans="1:9" x14ac:dyDescent="0.2">
      <c r="A36" s="38">
        <v>269762</v>
      </c>
      <c r="B36" s="39">
        <v>139440</v>
      </c>
      <c r="C36" s="39">
        <v>38462</v>
      </c>
      <c r="D36" s="50">
        <v>104.9</v>
      </c>
      <c r="F36" s="17">
        <v>9</v>
      </c>
      <c r="G36" s="17">
        <v>372049.95487089711</v>
      </c>
      <c r="H36" s="17">
        <v>-27160.954870897112</v>
      </c>
      <c r="I36">
        <f t="shared" si="0"/>
        <v>7.8752743262026668</v>
      </c>
    </row>
    <row r="37" spans="1:9" x14ac:dyDescent="0.2">
      <c r="A37" s="38">
        <v>278556</v>
      </c>
      <c r="B37" s="39">
        <v>136570</v>
      </c>
      <c r="C37" s="39">
        <v>30983</v>
      </c>
      <c r="D37" s="50">
        <v>103.5</v>
      </c>
      <c r="F37" s="17">
        <v>10</v>
      </c>
      <c r="G37" s="17">
        <v>287133.49551484938</v>
      </c>
      <c r="H37" s="17">
        <v>20883.504485150625</v>
      </c>
      <c r="I37">
        <f t="shared" si="0"/>
        <v>6.7799843791578471</v>
      </c>
    </row>
    <row r="38" spans="1:9" x14ac:dyDescent="0.2">
      <c r="A38" s="38">
        <v>142355</v>
      </c>
      <c r="B38" s="39">
        <v>63811</v>
      </c>
      <c r="C38" s="39">
        <v>23574</v>
      </c>
      <c r="D38" s="50">
        <v>100.9</v>
      </c>
      <c r="F38" s="17">
        <v>11</v>
      </c>
      <c r="G38" s="17">
        <v>277320.90992493491</v>
      </c>
      <c r="H38" s="17">
        <v>58905.090075065091</v>
      </c>
      <c r="I38">
        <f t="shared" si="0"/>
        <v>17.519492863450502</v>
      </c>
    </row>
    <row r="39" spans="1:9" x14ac:dyDescent="0.2">
      <c r="A39" s="38">
        <v>154696</v>
      </c>
      <c r="B39" s="39">
        <v>70223</v>
      </c>
      <c r="C39" s="39">
        <v>29613</v>
      </c>
      <c r="D39" s="50">
        <v>101.1</v>
      </c>
      <c r="F39" s="17">
        <v>12</v>
      </c>
      <c r="G39" s="17">
        <v>321616.98884730448</v>
      </c>
      <c r="H39" s="17">
        <v>26054.011152695515</v>
      </c>
      <c r="I39">
        <f t="shared" si="0"/>
        <v>7.4938695354790923</v>
      </c>
    </row>
    <row r="40" spans="1:9" x14ac:dyDescent="0.2">
      <c r="A40" s="38">
        <v>186505</v>
      </c>
      <c r="B40" s="39">
        <v>70333</v>
      </c>
      <c r="C40" s="39">
        <v>42927</v>
      </c>
      <c r="D40" s="50">
        <v>101</v>
      </c>
      <c r="F40" s="17">
        <v>13</v>
      </c>
      <c r="G40" s="17">
        <v>247727.25227096528</v>
      </c>
      <c r="H40" s="17">
        <v>-61833.252270965284</v>
      </c>
      <c r="I40">
        <f t="shared" si="0"/>
        <v>33.262640144902619</v>
      </c>
    </row>
    <row r="41" spans="1:9" x14ac:dyDescent="0.2">
      <c r="A41" s="38">
        <v>223835</v>
      </c>
      <c r="B41" s="39">
        <v>119621</v>
      </c>
      <c r="C41" s="39">
        <v>40576</v>
      </c>
      <c r="D41" s="50">
        <v>99.3</v>
      </c>
      <c r="F41" s="17">
        <v>14</v>
      </c>
      <c r="G41" s="17">
        <v>238843.23669086833</v>
      </c>
      <c r="H41" s="17">
        <v>-38341.236690868333</v>
      </c>
      <c r="I41">
        <f t="shared" si="0"/>
        <v>19.122620567808966</v>
      </c>
    </row>
    <row r="42" spans="1:9" x14ac:dyDescent="0.2">
      <c r="A42" s="38">
        <v>234479</v>
      </c>
      <c r="B42" s="39">
        <v>138396</v>
      </c>
      <c r="C42" s="39">
        <v>32570</v>
      </c>
      <c r="D42" s="50">
        <v>105</v>
      </c>
      <c r="F42" s="17">
        <v>15</v>
      </c>
      <c r="G42" s="17">
        <v>230034.10168179576</v>
      </c>
      <c r="H42" s="17">
        <v>-26317.101681795757</v>
      </c>
      <c r="I42">
        <f t="shared" si="0"/>
        <v>12.918461238775242</v>
      </c>
    </row>
    <row r="43" spans="1:9" x14ac:dyDescent="0.2">
      <c r="A43" s="38">
        <v>217047</v>
      </c>
      <c r="B43" s="39">
        <v>104147</v>
      </c>
      <c r="C43" s="39">
        <v>44798</v>
      </c>
      <c r="D43" s="50">
        <v>99</v>
      </c>
      <c r="F43" s="17">
        <v>16</v>
      </c>
      <c r="G43" s="17">
        <v>243088.37720946706</v>
      </c>
      <c r="H43" s="17">
        <v>-10763.377209467057</v>
      </c>
      <c r="I43">
        <f t="shared" si="0"/>
        <v>4.632896678991524</v>
      </c>
    </row>
    <row r="44" spans="1:9" x14ac:dyDescent="0.2">
      <c r="A44" s="38">
        <v>256363</v>
      </c>
      <c r="B44" s="39">
        <v>109978</v>
      </c>
      <c r="C44" s="39">
        <v>38093</v>
      </c>
      <c r="D44" s="50">
        <v>102.5</v>
      </c>
      <c r="F44" s="17">
        <v>17</v>
      </c>
      <c r="G44" s="17">
        <v>246734.9044666499</v>
      </c>
      <c r="H44" s="17">
        <v>-20144.904466649896</v>
      </c>
      <c r="I44">
        <f t="shared" si="0"/>
        <v>8.8904649219514962</v>
      </c>
    </row>
    <row r="45" spans="1:9" x14ac:dyDescent="0.2">
      <c r="A45" s="38">
        <v>256302</v>
      </c>
      <c r="B45" s="39">
        <v>138871</v>
      </c>
      <c r="C45" s="39">
        <v>37533</v>
      </c>
      <c r="D45" s="50">
        <v>95.7</v>
      </c>
      <c r="F45" s="17">
        <v>18</v>
      </c>
      <c r="G45" s="17">
        <v>298008.8327401572</v>
      </c>
      <c r="H45" s="17">
        <v>-32688.832740157202</v>
      </c>
      <c r="I45">
        <f t="shared" si="0"/>
        <v>12.320530958901402</v>
      </c>
    </row>
    <row r="46" spans="1:9" x14ac:dyDescent="0.2">
      <c r="A46" s="38">
        <v>271987</v>
      </c>
      <c r="B46" s="39">
        <v>135912</v>
      </c>
      <c r="C46" s="39">
        <v>44092</v>
      </c>
      <c r="D46" s="50">
        <v>100.7</v>
      </c>
      <c r="F46" s="17">
        <v>19</v>
      </c>
      <c r="G46" s="17">
        <v>298587.95636116661</v>
      </c>
      <c r="H46" s="17">
        <v>-26882.956361166609</v>
      </c>
      <c r="I46">
        <f t="shared" si="0"/>
        <v>9.8941706487427936</v>
      </c>
    </row>
    <row r="47" spans="1:9" x14ac:dyDescent="0.2">
      <c r="A47" s="38">
        <v>302538</v>
      </c>
      <c r="B47" s="39">
        <v>160657</v>
      </c>
      <c r="C47" s="39">
        <v>63175</v>
      </c>
      <c r="D47" s="50">
        <v>106.5</v>
      </c>
      <c r="F47" s="17">
        <v>20</v>
      </c>
      <c r="G47" s="17">
        <v>316300.36545473017</v>
      </c>
      <c r="H47" s="17">
        <v>-16161.36545473017</v>
      </c>
      <c r="I47">
        <f t="shared" si="0"/>
        <v>5.3846269410940168</v>
      </c>
    </row>
    <row r="48" spans="1:9" x14ac:dyDescent="0.2">
      <c r="A48" s="38">
        <v>322686</v>
      </c>
      <c r="B48" s="39">
        <v>152937</v>
      </c>
      <c r="C48" s="39">
        <v>76327</v>
      </c>
      <c r="D48" s="50">
        <v>105</v>
      </c>
      <c r="F48" s="17">
        <v>21</v>
      </c>
      <c r="G48" s="17">
        <v>372773.77356508118</v>
      </c>
      <c r="H48" s="17">
        <v>-26857.773565081181</v>
      </c>
      <c r="I48">
        <f t="shared" si="0"/>
        <v>7.7642472638100521</v>
      </c>
    </row>
    <row r="49" spans="1:9" x14ac:dyDescent="0.2">
      <c r="A49" s="38">
        <v>343335</v>
      </c>
      <c r="B49" s="39">
        <v>177961</v>
      </c>
      <c r="C49" s="39">
        <v>80694</v>
      </c>
      <c r="D49" s="50">
        <v>98.8</v>
      </c>
      <c r="F49" s="17">
        <v>22</v>
      </c>
      <c r="G49" s="17">
        <v>359181.50362171629</v>
      </c>
      <c r="H49" s="17">
        <v>-28566.503621716285</v>
      </c>
      <c r="I49">
        <f t="shared" si="0"/>
        <v>8.6404136599114647</v>
      </c>
    </row>
    <row r="50" spans="1:9" x14ac:dyDescent="0.2">
      <c r="A50" s="38">
        <v>144914</v>
      </c>
      <c r="B50" s="39">
        <v>63378</v>
      </c>
      <c r="C50" s="39">
        <v>33427</v>
      </c>
      <c r="D50" s="50">
        <v>100.8</v>
      </c>
      <c r="F50" s="17">
        <v>23</v>
      </c>
      <c r="G50" s="17">
        <v>420604.99650894362</v>
      </c>
      <c r="H50" s="17">
        <v>-20211.996508943615</v>
      </c>
      <c r="I50">
        <f t="shared" si="0"/>
        <v>5.0480394284974048</v>
      </c>
    </row>
    <row r="51" spans="1:9" x14ac:dyDescent="0.2">
      <c r="A51" s="38">
        <v>171308</v>
      </c>
      <c r="B51" s="39">
        <v>73180</v>
      </c>
      <c r="C51" s="39">
        <v>67522</v>
      </c>
      <c r="D51" s="50">
        <v>102.2</v>
      </c>
      <c r="F51" s="17">
        <v>24</v>
      </c>
      <c r="G51" s="17">
        <v>345340.25642530504</v>
      </c>
      <c r="H51" s="17">
        <v>26881.743574694963</v>
      </c>
      <c r="I51">
        <f t="shared" si="0"/>
        <v>7.2219652719868686</v>
      </c>
    </row>
    <row r="52" spans="1:9" x14ac:dyDescent="0.2">
      <c r="A52" s="38">
        <v>184799</v>
      </c>
      <c r="B52" s="39">
        <v>70482</v>
      </c>
      <c r="C52" s="39">
        <v>58949</v>
      </c>
      <c r="D52" s="50">
        <v>98.8</v>
      </c>
      <c r="F52" s="17">
        <v>25</v>
      </c>
      <c r="G52" s="17">
        <v>150128.10654219179</v>
      </c>
      <c r="H52" s="17">
        <v>-26469.106542191788</v>
      </c>
      <c r="I52">
        <f t="shared" si="0"/>
        <v>21.404917185317519</v>
      </c>
    </row>
    <row r="53" spans="1:9" x14ac:dyDescent="0.2">
      <c r="A53" s="38">
        <v>185538</v>
      </c>
      <c r="B53" s="39">
        <v>74813</v>
      </c>
      <c r="C53" s="39">
        <v>41794</v>
      </c>
      <c r="D53" s="50">
        <v>97.9</v>
      </c>
      <c r="F53" s="17">
        <v>26</v>
      </c>
      <c r="G53" s="17">
        <v>146341.3927957163</v>
      </c>
      <c r="H53" s="17">
        <v>-32580.392795716296</v>
      </c>
      <c r="I53">
        <f t="shared" si="0"/>
        <v>28.639334038656745</v>
      </c>
    </row>
    <row r="54" spans="1:9" x14ac:dyDescent="0.2">
      <c r="A54" s="38">
        <v>195620</v>
      </c>
      <c r="B54" s="39">
        <v>72402</v>
      </c>
      <c r="C54" s="39">
        <v>47759</v>
      </c>
      <c r="D54" s="50">
        <v>102.3</v>
      </c>
      <c r="F54" s="17">
        <v>27</v>
      </c>
      <c r="G54" s="17">
        <v>151842.8049740284</v>
      </c>
      <c r="H54" s="17">
        <v>3083.1950259715959</v>
      </c>
      <c r="I54">
        <f t="shared" si="0"/>
        <v>1.9901081974436803</v>
      </c>
    </row>
    <row r="55" spans="1:9" x14ac:dyDescent="0.2">
      <c r="A55" s="38">
        <v>217669</v>
      </c>
      <c r="B55" s="39">
        <v>101090</v>
      </c>
      <c r="C55" s="39">
        <v>56965</v>
      </c>
      <c r="D55" s="50">
        <v>100.9</v>
      </c>
      <c r="F55" s="17">
        <v>28</v>
      </c>
      <c r="G55" s="17">
        <v>184895.95829134525</v>
      </c>
      <c r="H55" s="17">
        <v>-23633.958291345247</v>
      </c>
      <c r="I55">
        <f t="shared" si="0"/>
        <v>14.655627668852702</v>
      </c>
    </row>
    <row r="56" spans="1:9" x14ac:dyDescent="0.2">
      <c r="A56" s="38">
        <v>246482</v>
      </c>
      <c r="B56" s="39">
        <v>92636</v>
      </c>
      <c r="C56" s="39">
        <v>61449</v>
      </c>
      <c r="D56" s="50">
        <v>101.9</v>
      </c>
      <c r="F56" s="17">
        <v>29</v>
      </c>
      <c r="G56" s="17">
        <v>178718.610104967</v>
      </c>
      <c r="H56" s="17">
        <v>-3824.610104966996</v>
      </c>
      <c r="I56">
        <f t="shared" si="0"/>
        <v>2.1868160742889957</v>
      </c>
    </row>
    <row r="57" spans="1:9" x14ac:dyDescent="0.2">
      <c r="A57" s="38">
        <v>240849</v>
      </c>
      <c r="B57" s="39">
        <v>97965</v>
      </c>
      <c r="C57" s="39">
        <v>57358</v>
      </c>
      <c r="D57" s="50">
        <v>100.7</v>
      </c>
      <c r="F57" s="17">
        <v>30</v>
      </c>
      <c r="G57" s="17">
        <v>173472.58900358278</v>
      </c>
      <c r="H57" s="17">
        <v>10150.410996417224</v>
      </c>
      <c r="I57">
        <f t="shared" si="0"/>
        <v>5.5278538072121819</v>
      </c>
    </row>
    <row r="58" spans="1:9" x14ac:dyDescent="0.2">
      <c r="A58" s="38">
        <v>278480</v>
      </c>
      <c r="B58" s="39">
        <v>125383</v>
      </c>
      <c r="C58" s="39">
        <v>46793</v>
      </c>
      <c r="D58" s="50">
        <v>101</v>
      </c>
      <c r="F58" s="17">
        <v>31</v>
      </c>
      <c r="G58" s="17">
        <v>228214.60514272569</v>
      </c>
      <c r="H58" s="17">
        <v>-14926.60514272569</v>
      </c>
      <c r="I58">
        <f t="shared" si="0"/>
        <v>6.9983333064802933</v>
      </c>
    </row>
    <row r="59" spans="1:9" x14ac:dyDescent="0.2">
      <c r="A59" s="38">
        <v>300929</v>
      </c>
      <c r="B59" s="39">
        <v>131954</v>
      </c>
      <c r="C59" s="39">
        <v>77867</v>
      </c>
      <c r="D59" s="50">
        <v>103.6</v>
      </c>
      <c r="F59" s="17">
        <v>32</v>
      </c>
      <c r="G59" s="17">
        <v>226960.0639183576</v>
      </c>
      <c r="H59" s="17">
        <v>-20796.063918357599</v>
      </c>
      <c r="I59">
        <f t="shared" si="0"/>
        <v>10.087146115887156</v>
      </c>
    </row>
    <row r="60" spans="1:9" x14ac:dyDescent="0.2">
      <c r="A60" s="38">
        <v>315360</v>
      </c>
      <c r="B60" s="39">
        <v>97451</v>
      </c>
      <c r="C60" s="39">
        <v>109178</v>
      </c>
      <c r="D60" s="50">
        <v>105.2</v>
      </c>
      <c r="F60" s="17">
        <v>33</v>
      </c>
      <c r="G60" s="17">
        <v>244765.73309170979</v>
      </c>
      <c r="H60" s="17">
        <v>-11145.733091709786</v>
      </c>
      <c r="I60">
        <f t="shared" si="0"/>
        <v>4.7708813850311564</v>
      </c>
    </row>
    <row r="61" spans="1:9" x14ac:dyDescent="0.2">
      <c r="A61" s="38">
        <v>351614</v>
      </c>
      <c r="B61" s="39">
        <v>165659</v>
      </c>
      <c r="C61" s="39">
        <v>99001</v>
      </c>
      <c r="D61" s="50">
        <v>107.3</v>
      </c>
      <c r="F61" s="17">
        <v>34</v>
      </c>
      <c r="G61" s="17">
        <v>245339.08752736606</v>
      </c>
      <c r="H61" s="17">
        <v>-60.087527366064023</v>
      </c>
      <c r="I61">
        <f t="shared" si="0"/>
        <v>2.4497624079543714E-2</v>
      </c>
    </row>
    <row r="62" spans="1:9" x14ac:dyDescent="0.2">
      <c r="A62" s="38">
        <v>152011</v>
      </c>
      <c r="B62" s="39">
        <v>83495</v>
      </c>
      <c r="C62" s="39">
        <v>40446</v>
      </c>
      <c r="D62" s="50">
        <v>101</v>
      </c>
      <c r="F62" s="17">
        <v>35</v>
      </c>
      <c r="G62" s="17">
        <v>268592.7860749503</v>
      </c>
      <c r="H62" s="17">
        <v>1169.2139250496984</v>
      </c>
      <c r="I62">
        <f t="shared" si="0"/>
        <v>0.4334242499127744</v>
      </c>
    </row>
    <row r="63" spans="1:9" x14ac:dyDescent="0.2">
      <c r="A63" s="38">
        <v>151229</v>
      </c>
      <c r="B63" s="39">
        <v>62852</v>
      </c>
      <c r="C63" s="39">
        <v>37155</v>
      </c>
      <c r="D63" s="50">
        <v>103.8</v>
      </c>
      <c r="F63" s="17">
        <v>36</v>
      </c>
      <c r="G63" s="17">
        <v>260013.10851307699</v>
      </c>
      <c r="H63" s="17">
        <v>18542.891486923007</v>
      </c>
      <c r="I63">
        <f t="shared" si="0"/>
        <v>6.6567912688734063</v>
      </c>
    </row>
    <row r="64" spans="1:9" x14ac:dyDescent="0.2">
      <c r="A64" s="38">
        <v>180179</v>
      </c>
      <c r="B64" s="39">
        <v>72703</v>
      </c>
      <c r="C64" s="39">
        <v>45781</v>
      </c>
      <c r="D64" s="50">
        <v>106.3</v>
      </c>
      <c r="F64" s="17">
        <v>37</v>
      </c>
      <c r="G64" s="17">
        <v>159017.70027553613</v>
      </c>
      <c r="H64" s="17">
        <v>-16662.700275536132</v>
      </c>
      <c r="I64">
        <f t="shared" si="0"/>
        <v>11.705033385224356</v>
      </c>
    </row>
    <row r="65" spans="1:9" x14ac:dyDescent="0.2">
      <c r="A65" s="38">
        <v>185509</v>
      </c>
      <c r="B65" s="39">
        <v>85443</v>
      </c>
      <c r="C65" s="39">
        <v>42122</v>
      </c>
      <c r="D65" s="50">
        <v>104.8</v>
      </c>
      <c r="F65" s="17">
        <v>38</v>
      </c>
      <c r="G65" s="17">
        <v>169782.30736218253</v>
      </c>
      <c r="H65" s="17">
        <v>-15086.307362182532</v>
      </c>
      <c r="I65">
        <f t="shared" si="0"/>
        <v>9.7522284753209725</v>
      </c>
    </row>
    <row r="66" spans="1:9" x14ac:dyDescent="0.2">
      <c r="A66" s="38">
        <v>204249</v>
      </c>
      <c r="B66" s="39">
        <v>88286</v>
      </c>
      <c r="C66" s="39">
        <v>51740</v>
      </c>
      <c r="D66" s="50">
        <v>103.2</v>
      </c>
      <c r="F66" s="17">
        <v>39</v>
      </c>
      <c r="G66" s="17">
        <v>174488.9011096062</v>
      </c>
      <c r="H66" s="17">
        <v>12016.098890393798</v>
      </c>
      <c r="I66">
        <f t="shared" si="0"/>
        <v>6.4427757381270201</v>
      </c>
    </row>
    <row r="67" spans="1:9" x14ac:dyDescent="0.2">
      <c r="A67" s="38">
        <v>226004</v>
      </c>
      <c r="B67" s="39">
        <v>114134</v>
      </c>
      <c r="C67" s="39">
        <v>73622</v>
      </c>
      <c r="D67" s="50">
        <v>96.9</v>
      </c>
      <c r="F67" s="17">
        <v>40</v>
      </c>
      <c r="G67" s="17">
        <v>234829.73575743538</v>
      </c>
      <c r="H67" s="17">
        <v>-10994.735757435381</v>
      </c>
      <c r="I67">
        <f t="shared" si="0"/>
        <v>4.9119823787322723</v>
      </c>
    </row>
    <row r="68" spans="1:9" x14ac:dyDescent="0.2">
      <c r="A68" s="38">
        <v>213034</v>
      </c>
      <c r="B68" s="39">
        <v>98764</v>
      </c>
      <c r="C68" s="39">
        <v>54394</v>
      </c>
      <c r="D68" s="50">
        <v>101.3</v>
      </c>
      <c r="F68" s="17">
        <v>41</v>
      </c>
      <c r="G68" s="17">
        <v>265308.35343172809</v>
      </c>
      <c r="H68" s="17">
        <v>-30829.353431728086</v>
      </c>
      <c r="I68">
        <f t="shared" si="0"/>
        <v>13.148023248021396</v>
      </c>
    </row>
    <row r="69" spans="1:9" x14ac:dyDescent="0.2">
      <c r="A69" s="38">
        <v>264981</v>
      </c>
      <c r="B69" s="39">
        <v>113353</v>
      </c>
      <c r="C69" s="39">
        <v>72798</v>
      </c>
      <c r="D69" s="50">
        <v>101.2</v>
      </c>
      <c r="F69" s="17">
        <v>42</v>
      </c>
      <c r="G69" s="17">
        <v>215805.84893453913</v>
      </c>
      <c r="H69" s="17">
        <v>1241.1510654608719</v>
      </c>
      <c r="I69">
        <f t="shared" si="0"/>
        <v>0.57183516264259437</v>
      </c>
    </row>
    <row r="70" spans="1:9" x14ac:dyDescent="0.2">
      <c r="A70" s="38">
        <v>256137</v>
      </c>
      <c r="B70" s="39">
        <v>108532</v>
      </c>
      <c r="C70" s="39">
        <v>73286</v>
      </c>
      <c r="D70" s="50">
        <v>100</v>
      </c>
      <c r="F70" s="17">
        <v>43</v>
      </c>
      <c r="G70" s="17">
        <v>226504.68849409546</v>
      </c>
      <c r="H70" s="17">
        <v>29858.311505904538</v>
      </c>
      <c r="I70">
        <f t="shared" si="0"/>
        <v>11.646888008762785</v>
      </c>
    </row>
    <row r="71" spans="1:9" x14ac:dyDescent="0.2">
      <c r="A71" s="38">
        <v>311862</v>
      </c>
      <c r="B71" s="39">
        <v>157646</v>
      </c>
      <c r="C71" s="39">
        <v>90050</v>
      </c>
      <c r="D71" s="50">
        <v>101.3</v>
      </c>
      <c r="F71" s="17">
        <v>44</v>
      </c>
      <c r="G71" s="17">
        <v>253010.55191463509</v>
      </c>
      <c r="H71" s="17">
        <v>3291.4480853649147</v>
      </c>
      <c r="I71">
        <f t="shared" si="0"/>
        <v>1.2842069454646921</v>
      </c>
    </row>
    <row r="72" spans="1:9" x14ac:dyDescent="0.2">
      <c r="A72" s="38">
        <v>297376</v>
      </c>
      <c r="B72" s="39">
        <v>129343</v>
      </c>
      <c r="C72" s="39">
        <v>78306</v>
      </c>
      <c r="D72" s="50">
        <v>106.3</v>
      </c>
      <c r="F72" s="17">
        <v>45</v>
      </c>
      <c r="G72" s="17">
        <v>259391.98314429313</v>
      </c>
      <c r="H72" s="17">
        <v>12595.016855706868</v>
      </c>
      <c r="I72">
        <f t="shared" si="0"/>
        <v>4.6307422250721055</v>
      </c>
    </row>
    <row r="73" spans="1:9" x14ac:dyDescent="0.2">
      <c r="A73" s="38">
        <v>351321</v>
      </c>
      <c r="B73" s="39">
        <v>156617</v>
      </c>
      <c r="C73" s="39">
        <v>152751</v>
      </c>
      <c r="D73" s="50">
        <v>99.5</v>
      </c>
      <c r="F73" s="17">
        <v>46</v>
      </c>
      <c r="G73" s="17">
        <v>307370.23788015207</v>
      </c>
      <c r="H73" s="17">
        <v>-4832.2378801520681</v>
      </c>
      <c r="I73">
        <f t="shared" si="0"/>
        <v>1.5972333657762225</v>
      </c>
    </row>
    <row r="74" spans="1:9" x14ac:dyDescent="0.2">
      <c r="A74" s="38">
        <v>166750</v>
      </c>
      <c r="B74" s="39">
        <v>58604</v>
      </c>
      <c r="C74" s="39">
        <v>58295</v>
      </c>
      <c r="D74" s="50">
        <v>104.3</v>
      </c>
      <c r="F74" s="17">
        <v>47</v>
      </c>
      <c r="G74" s="17">
        <v>299666.04668279027</v>
      </c>
      <c r="H74" s="17">
        <v>23019.953317209729</v>
      </c>
      <c r="I74">
        <f t="shared" si="0"/>
        <v>7.133855611092434</v>
      </c>
    </row>
    <row r="75" spans="1:9" x14ac:dyDescent="0.2">
      <c r="A75" s="38">
        <v>185047</v>
      </c>
      <c r="B75" s="39">
        <v>64009</v>
      </c>
      <c r="C75" s="39">
        <v>69190</v>
      </c>
      <c r="D75" s="50">
        <v>98.5</v>
      </c>
      <c r="F75" s="17">
        <v>48</v>
      </c>
      <c r="G75" s="17">
        <v>323853.33302792266</v>
      </c>
      <c r="H75" s="17">
        <v>19481.666972077335</v>
      </c>
      <c r="I75">
        <f t="shared" si="0"/>
        <v>5.6742443887390843</v>
      </c>
    </row>
    <row r="76" spans="1:9" x14ac:dyDescent="0.2">
      <c r="A76" s="38">
        <v>198697</v>
      </c>
      <c r="B76" s="39">
        <v>63807</v>
      </c>
      <c r="C76" s="39">
        <v>59599</v>
      </c>
      <c r="D76" s="50">
        <v>102.8</v>
      </c>
      <c r="F76" s="17">
        <v>49</v>
      </c>
      <c r="G76" s="17">
        <v>161793.33483797108</v>
      </c>
      <c r="H76" s="17">
        <v>-16879.334837971081</v>
      </c>
      <c r="I76">
        <f t="shared" si="0"/>
        <v>11.647828945423548</v>
      </c>
    </row>
    <row r="77" spans="1:9" x14ac:dyDescent="0.2">
      <c r="A77" s="38">
        <v>207841</v>
      </c>
      <c r="B77" s="39">
        <v>82820</v>
      </c>
      <c r="C77" s="39">
        <v>75596</v>
      </c>
      <c r="D77" s="50">
        <v>101.3</v>
      </c>
      <c r="F77" s="17">
        <v>50</v>
      </c>
      <c r="G77" s="17">
        <v>188793.47425742229</v>
      </c>
      <c r="H77" s="17">
        <v>-17485.474257422291</v>
      </c>
      <c r="I77">
        <f t="shared" si="0"/>
        <v>10.207038934213401</v>
      </c>
    </row>
    <row r="78" spans="1:9" x14ac:dyDescent="0.2">
      <c r="A78" s="38">
        <v>240705</v>
      </c>
      <c r="B78" s="39">
        <v>84059</v>
      </c>
      <c r="C78" s="39">
        <v>74525</v>
      </c>
      <c r="D78" s="50">
        <v>102.9</v>
      </c>
      <c r="F78" s="17">
        <v>51</v>
      </c>
      <c r="G78" s="17">
        <v>176893.08730279023</v>
      </c>
      <c r="H78" s="17">
        <v>7905.9126972097729</v>
      </c>
      <c r="I78">
        <f t="shared" si="0"/>
        <v>4.2781144363388179</v>
      </c>
    </row>
    <row r="79" spans="1:9" x14ac:dyDescent="0.2">
      <c r="A79" s="38">
        <v>220235</v>
      </c>
      <c r="B79" s="39">
        <v>87108</v>
      </c>
      <c r="C79" s="39">
        <v>112648</v>
      </c>
      <c r="D79" s="50">
        <v>98.4</v>
      </c>
      <c r="F79" s="17">
        <v>52</v>
      </c>
      <c r="G79" s="17">
        <v>175000.18780891993</v>
      </c>
      <c r="H79" s="17">
        <v>10537.812191080069</v>
      </c>
      <c r="I79">
        <f t="shared" si="0"/>
        <v>5.6795978134290923</v>
      </c>
    </row>
    <row r="80" spans="1:9" x14ac:dyDescent="0.2">
      <c r="A80" s="38">
        <v>270553</v>
      </c>
      <c r="B80" s="39">
        <v>89471</v>
      </c>
      <c r="C80" s="39">
        <v>98663</v>
      </c>
      <c r="D80" s="50">
        <v>103.6</v>
      </c>
      <c r="F80" s="17">
        <v>53</v>
      </c>
      <c r="G80" s="17">
        <v>180934.26827781138</v>
      </c>
      <c r="H80" s="17">
        <v>14685.731722188619</v>
      </c>
      <c r="I80">
        <f t="shared" si="0"/>
        <v>7.5072751877050496</v>
      </c>
    </row>
    <row r="81" spans="1:9" x14ac:dyDescent="0.2">
      <c r="A81" s="38">
        <v>296691</v>
      </c>
      <c r="B81" s="39">
        <v>140350</v>
      </c>
      <c r="C81" s="39">
        <v>89795</v>
      </c>
      <c r="D81" s="50">
        <v>98.5</v>
      </c>
      <c r="F81" s="17">
        <v>54</v>
      </c>
      <c r="G81" s="17">
        <v>219158.09295325278</v>
      </c>
      <c r="H81" s="17">
        <v>-1489.0929532527807</v>
      </c>
      <c r="I81">
        <f t="shared" si="0"/>
        <v>0.68410887781575724</v>
      </c>
    </row>
    <row r="82" spans="1:9" x14ac:dyDescent="0.2">
      <c r="A82" s="38">
        <v>298518</v>
      </c>
      <c r="B82" s="39">
        <v>104644</v>
      </c>
      <c r="C82" s="39">
        <v>130334</v>
      </c>
      <c r="D82" s="50">
        <v>103.7</v>
      </c>
      <c r="F82" s="17">
        <v>55</v>
      </c>
      <c r="G82" s="17">
        <v>211373.25368057238</v>
      </c>
      <c r="H82" s="17">
        <v>35108.746319427621</v>
      </c>
      <c r="I82">
        <f t="shared" si="0"/>
        <v>14.243939240767123</v>
      </c>
    </row>
    <row r="83" spans="1:9" x14ac:dyDescent="0.2">
      <c r="A83" s="38">
        <v>325963</v>
      </c>
      <c r="B83" s="39">
        <v>136164</v>
      </c>
      <c r="C83" s="39">
        <v>103159</v>
      </c>
      <c r="D83" s="50">
        <v>107.2</v>
      </c>
      <c r="F83" s="17">
        <v>56</v>
      </c>
      <c r="G83" s="17">
        <v>214933.2091320568</v>
      </c>
      <c r="H83" s="17">
        <v>25915.7908679432</v>
      </c>
      <c r="I83">
        <f t="shared" si="0"/>
        <v>10.760182050971023</v>
      </c>
    </row>
    <row r="84" spans="1:9" x14ac:dyDescent="0.2">
      <c r="A84" s="38">
        <v>325414</v>
      </c>
      <c r="B84" s="39">
        <v>125437</v>
      </c>
      <c r="C84" s="39">
        <v>81258</v>
      </c>
      <c r="D84" s="50">
        <v>105.7</v>
      </c>
      <c r="F84" s="17">
        <v>57</v>
      </c>
      <c r="G84" s="17">
        <v>247182.00960172049</v>
      </c>
      <c r="H84" s="17">
        <v>31297.990398279508</v>
      </c>
      <c r="I84">
        <f t="shared" si="0"/>
        <v>11.238864693435618</v>
      </c>
    </row>
    <row r="85" spans="1:9" x14ac:dyDescent="0.2">
      <c r="A85" s="38">
        <v>379207</v>
      </c>
      <c r="B85" s="39">
        <v>178536</v>
      </c>
      <c r="C85" s="39">
        <v>162392</v>
      </c>
      <c r="D85" s="50">
        <v>107.1</v>
      </c>
      <c r="F85" s="17">
        <v>58</v>
      </c>
      <c r="G85" s="17">
        <v>270818.03734887508</v>
      </c>
      <c r="H85" s="17">
        <v>30110.962651124923</v>
      </c>
      <c r="I85">
        <f t="shared" si="0"/>
        <v>10.006002296596513</v>
      </c>
    </row>
    <row r="86" spans="1:9" x14ac:dyDescent="0.2">
      <c r="A86" s="38">
        <v>181239</v>
      </c>
      <c r="B86" s="39">
        <v>55133</v>
      </c>
      <c r="C86" s="39">
        <v>28143</v>
      </c>
      <c r="D86" s="50">
        <v>103.8</v>
      </c>
      <c r="F86" s="17">
        <v>59</v>
      </c>
      <c r="G86" s="17">
        <v>239745.43258025579</v>
      </c>
      <c r="H86" s="17">
        <v>75614.567419744213</v>
      </c>
      <c r="I86">
        <f t="shared" si="0"/>
        <v>23.977222038224319</v>
      </c>
    </row>
    <row r="87" spans="1:9" x14ac:dyDescent="0.2">
      <c r="A87" s="38">
        <v>196578</v>
      </c>
      <c r="B87" s="39">
        <v>71447</v>
      </c>
      <c r="C87" s="39">
        <v>41718</v>
      </c>
      <c r="D87" s="50">
        <v>110.9</v>
      </c>
      <c r="F87" s="17">
        <v>60</v>
      </c>
      <c r="G87" s="17">
        <v>327818.80125535792</v>
      </c>
      <c r="H87" s="17">
        <v>23795.198744642083</v>
      </c>
      <c r="I87">
        <f t="shared" si="0"/>
        <v>6.767420735420683</v>
      </c>
    </row>
    <row r="88" spans="1:9" x14ac:dyDescent="0.2">
      <c r="A88" s="38">
        <v>193186</v>
      </c>
      <c r="B88" s="39">
        <v>63586</v>
      </c>
      <c r="C88" s="39">
        <v>43368</v>
      </c>
      <c r="D88" s="50">
        <v>102.6</v>
      </c>
      <c r="F88" s="17">
        <v>61</v>
      </c>
      <c r="G88" s="17">
        <v>190661.5106664474</v>
      </c>
      <c r="H88" s="17">
        <v>-38650.510666447401</v>
      </c>
      <c r="I88">
        <f t="shared" si="0"/>
        <v>25.426127495015098</v>
      </c>
    </row>
    <row r="89" spans="1:9" x14ac:dyDescent="0.2">
      <c r="A89" s="38">
        <v>217703</v>
      </c>
      <c r="B89" s="39">
        <v>101116</v>
      </c>
      <c r="C89" s="39">
        <v>55228</v>
      </c>
      <c r="D89" s="50">
        <v>103.1</v>
      </c>
      <c r="F89" s="17">
        <v>62</v>
      </c>
      <c r="G89" s="17">
        <v>167167.34377528666</v>
      </c>
      <c r="H89" s="17">
        <v>-15938.343775286659</v>
      </c>
      <c r="I89">
        <f t="shared" si="0"/>
        <v>10.539211246048483</v>
      </c>
    </row>
    <row r="90" spans="1:9" x14ac:dyDescent="0.2">
      <c r="A90" s="38">
        <v>240038</v>
      </c>
      <c r="B90" s="39">
        <v>112971</v>
      </c>
      <c r="C90" s="39">
        <v>61064</v>
      </c>
      <c r="D90" s="50">
        <v>102.6</v>
      </c>
      <c r="F90" s="17">
        <v>63</v>
      </c>
      <c r="G90" s="17">
        <v>186933.85348633528</v>
      </c>
      <c r="H90" s="17">
        <v>-6754.8534863352834</v>
      </c>
      <c r="I90">
        <f t="shared" si="0"/>
        <v>3.7489682406580584</v>
      </c>
    </row>
    <row r="91" spans="1:9" x14ac:dyDescent="0.2">
      <c r="A91" s="38">
        <v>235631</v>
      </c>
      <c r="B91" s="39">
        <v>81343</v>
      </c>
      <c r="C91" s="39">
        <v>57715</v>
      </c>
      <c r="D91" s="50">
        <v>103.2</v>
      </c>
      <c r="F91" s="17">
        <v>64</v>
      </c>
      <c r="G91" s="17">
        <v>199775.27438589992</v>
      </c>
      <c r="H91" s="17">
        <v>-14266.274385899917</v>
      </c>
      <c r="I91">
        <f t="shared" si="0"/>
        <v>7.6903408383959357</v>
      </c>
    </row>
    <row r="92" spans="1:9" x14ac:dyDescent="0.2">
      <c r="A92" s="38">
        <v>258876</v>
      </c>
      <c r="B92" s="39">
        <v>96530</v>
      </c>
      <c r="C92" s="39">
        <v>72256</v>
      </c>
      <c r="D92" s="50">
        <v>99</v>
      </c>
      <c r="F92" s="17">
        <v>65</v>
      </c>
      <c r="G92" s="17">
        <v>204345.236185452</v>
      </c>
      <c r="H92" s="17">
        <v>-96.236185451998608</v>
      </c>
      <c r="I92">
        <f t="shared" si="0"/>
        <v>4.7117090145850707E-2</v>
      </c>
    </row>
    <row r="93" spans="1:9" x14ac:dyDescent="0.2">
      <c r="A93" s="38">
        <v>260296</v>
      </c>
      <c r="B93" s="39">
        <v>125476</v>
      </c>
      <c r="C93" s="39">
        <v>50178</v>
      </c>
      <c r="D93" s="50">
        <v>102</v>
      </c>
      <c r="F93" s="17">
        <v>66</v>
      </c>
      <c r="G93" s="17">
        <v>235654.064315364</v>
      </c>
      <c r="H93" s="17">
        <v>-9650.0643153639976</v>
      </c>
      <c r="I93">
        <f t="shared" ref="I93:I156" si="1">ABS((A67-G93)/A67)*100</f>
        <v>4.2698643897293849</v>
      </c>
    </row>
    <row r="94" spans="1:9" x14ac:dyDescent="0.2">
      <c r="A94" s="38">
        <v>280285</v>
      </c>
      <c r="B94" s="39">
        <v>116469</v>
      </c>
      <c r="C94" s="39">
        <v>65144</v>
      </c>
      <c r="D94" s="50">
        <v>98.7</v>
      </c>
      <c r="F94" s="17">
        <v>67</v>
      </c>
      <c r="G94" s="17">
        <v>215863.85714992537</v>
      </c>
      <c r="H94" s="17">
        <v>-2829.857149925374</v>
      </c>
      <c r="I94">
        <f t="shared" si="1"/>
        <v>1.3283593933012448</v>
      </c>
    </row>
    <row r="95" spans="1:9" x14ac:dyDescent="0.2">
      <c r="A95" s="38">
        <v>297145</v>
      </c>
      <c r="B95" s="39">
        <v>111795</v>
      </c>
      <c r="C95" s="39">
        <v>86246</v>
      </c>
      <c r="D95" s="50">
        <v>102.6</v>
      </c>
      <c r="F95" s="17">
        <v>68</v>
      </c>
      <c r="G95" s="17">
        <v>241134.42937377086</v>
      </c>
      <c r="H95" s="17">
        <v>23846.570626229135</v>
      </c>
      <c r="I95">
        <f t="shared" si="1"/>
        <v>8.9993511331865808</v>
      </c>
    </row>
    <row r="96" spans="1:9" x14ac:dyDescent="0.2">
      <c r="A96" s="38">
        <v>388327</v>
      </c>
      <c r="B96" s="39">
        <v>204157</v>
      </c>
      <c r="C96" s="39">
        <v>103292</v>
      </c>
      <c r="D96" s="50">
        <v>102.9</v>
      </c>
      <c r="F96" s="17">
        <v>69</v>
      </c>
      <c r="G96" s="17">
        <v>233168.1438983141</v>
      </c>
      <c r="H96" s="17">
        <v>22968.856101685902</v>
      </c>
      <c r="I96">
        <f t="shared" si="1"/>
        <v>8.9674104489729718</v>
      </c>
    </row>
    <row r="97" spans="1:9" x14ac:dyDescent="0.2">
      <c r="A97" s="38">
        <v>349304</v>
      </c>
      <c r="B97" s="39">
        <v>160788</v>
      </c>
      <c r="C97" s="39">
        <v>95657</v>
      </c>
      <c r="D97" s="50">
        <v>102</v>
      </c>
      <c r="F97" s="17">
        <v>70</v>
      </c>
      <c r="G97" s="17">
        <v>304796.08783117251</v>
      </c>
      <c r="H97" s="17">
        <v>7065.9121688274899</v>
      </c>
      <c r="I97">
        <f t="shared" si="1"/>
        <v>2.2657175830423362</v>
      </c>
    </row>
    <row r="98" spans="1:9" x14ac:dyDescent="0.2">
      <c r="A98" s="38">
        <v>108812</v>
      </c>
      <c r="B98" s="39">
        <v>40383</v>
      </c>
      <c r="C98" s="39">
        <v>18081</v>
      </c>
      <c r="D98" s="50">
        <v>102.4</v>
      </c>
      <c r="F98" s="17">
        <v>71</v>
      </c>
      <c r="G98" s="17">
        <v>271850.95977119391</v>
      </c>
      <c r="H98" s="17">
        <v>25525.040228806087</v>
      </c>
      <c r="I98">
        <f t="shared" si="1"/>
        <v>8.5834230835057586</v>
      </c>
    </row>
    <row r="99" spans="1:9" x14ac:dyDescent="0.2">
      <c r="A99" s="38">
        <v>97639</v>
      </c>
      <c r="B99" s="39">
        <v>43237</v>
      </c>
      <c r="C99" s="39">
        <v>21386</v>
      </c>
      <c r="D99" s="50">
        <v>99.3</v>
      </c>
      <c r="F99" s="17">
        <v>72</v>
      </c>
      <c r="G99" s="17">
        <v>322860.05797575426</v>
      </c>
      <c r="H99" s="17">
        <v>28460.942024245742</v>
      </c>
      <c r="I99">
        <f t="shared" si="1"/>
        <v>8.1011217730354126</v>
      </c>
    </row>
    <row r="100" spans="1:9" x14ac:dyDescent="0.2">
      <c r="A100" s="38">
        <v>123743</v>
      </c>
      <c r="B100" s="39">
        <v>56274</v>
      </c>
      <c r="C100" s="39">
        <v>26734</v>
      </c>
      <c r="D100" s="50">
        <v>99.7</v>
      </c>
      <c r="F100" s="17">
        <v>73</v>
      </c>
      <c r="G100" s="17">
        <v>169949.95942944728</v>
      </c>
      <c r="H100" s="17">
        <v>-3199.9594294472772</v>
      </c>
      <c r="I100">
        <f t="shared" si="1"/>
        <v>1.9190161495935696</v>
      </c>
    </row>
    <row r="101" spans="1:9" x14ac:dyDescent="0.2">
      <c r="A101" s="38">
        <v>144170</v>
      </c>
      <c r="B101" s="39">
        <v>51041</v>
      </c>
      <c r="C101" s="39">
        <v>28048</v>
      </c>
      <c r="D101" s="50">
        <v>99.3</v>
      </c>
      <c r="F101" s="17">
        <v>74</v>
      </c>
      <c r="G101" s="17">
        <v>171665.43113060953</v>
      </c>
      <c r="H101" s="17">
        <v>13381.568869390467</v>
      </c>
      <c r="I101">
        <f t="shared" si="1"/>
        <v>7.2314432924556815</v>
      </c>
    </row>
    <row r="102" spans="1:9" x14ac:dyDescent="0.2">
      <c r="A102" s="38">
        <v>152961</v>
      </c>
      <c r="B102" s="39">
        <v>66194</v>
      </c>
      <c r="C102" s="39">
        <v>20207</v>
      </c>
      <c r="D102" s="50">
        <v>102.2</v>
      </c>
      <c r="F102" s="17">
        <v>75</v>
      </c>
      <c r="G102" s="17">
        <v>174786.69298795424</v>
      </c>
      <c r="H102" s="17">
        <v>23910.307012045756</v>
      </c>
      <c r="I102">
        <f t="shared" si="1"/>
        <v>12.033552097940964</v>
      </c>
    </row>
    <row r="103" spans="1:9" x14ac:dyDescent="0.2">
      <c r="A103" s="38">
        <v>163377</v>
      </c>
      <c r="B103" s="39">
        <v>63061</v>
      </c>
      <c r="C103" s="39">
        <v>30295</v>
      </c>
      <c r="D103" s="50">
        <v>107.8</v>
      </c>
      <c r="F103" s="17">
        <v>76</v>
      </c>
      <c r="G103" s="17">
        <v>202726.39582935316</v>
      </c>
      <c r="H103" s="17">
        <v>5114.6041706468386</v>
      </c>
      <c r="I103">
        <f t="shared" si="1"/>
        <v>2.4608254245537879</v>
      </c>
    </row>
    <row r="104" spans="1:9" x14ac:dyDescent="0.2">
      <c r="A104" s="38">
        <v>182740</v>
      </c>
      <c r="B104" s="39">
        <v>61403</v>
      </c>
      <c r="C104" s="39">
        <v>31594</v>
      </c>
      <c r="D104" s="50">
        <v>108.6</v>
      </c>
      <c r="F104" s="17">
        <v>77</v>
      </c>
      <c r="G104" s="17">
        <v>206476.24052673543</v>
      </c>
      <c r="H104" s="17">
        <v>34228.759473264567</v>
      </c>
      <c r="I104">
        <f t="shared" si="1"/>
        <v>14.220211243332944</v>
      </c>
    </row>
    <row r="105" spans="1:9" x14ac:dyDescent="0.2">
      <c r="A105" s="38">
        <v>177789</v>
      </c>
      <c r="B105" s="39">
        <v>61017</v>
      </c>
      <c r="C105" s="39">
        <v>32669</v>
      </c>
      <c r="D105" s="50">
        <v>101.2</v>
      </c>
      <c r="F105" s="17">
        <v>78</v>
      </c>
      <c r="G105" s="17">
        <v>216846.93133717979</v>
      </c>
      <c r="H105" s="17">
        <v>3388.0686628202093</v>
      </c>
      <c r="I105">
        <f t="shared" si="1"/>
        <v>1.5383879323541714</v>
      </c>
    </row>
    <row r="106" spans="1:9" x14ac:dyDescent="0.2">
      <c r="A106" s="38">
        <v>200870</v>
      </c>
      <c r="B106" s="39">
        <v>66444</v>
      </c>
      <c r="C106" s="39">
        <v>33223</v>
      </c>
      <c r="D106" s="50">
        <v>101</v>
      </c>
      <c r="F106" s="17">
        <v>79</v>
      </c>
      <c r="G106" s="17">
        <v>223153.02568804284</v>
      </c>
      <c r="H106" s="17">
        <v>47399.974311957165</v>
      </c>
      <c r="I106">
        <f t="shared" si="1"/>
        <v>17.519663175775971</v>
      </c>
    </row>
    <row r="107" spans="1:9" x14ac:dyDescent="0.2">
      <c r="A107" s="38">
        <v>208926</v>
      </c>
      <c r="B107" s="39">
        <v>90937</v>
      </c>
      <c r="C107" s="39">
        <v>40474</v>
      </c>
      <c r="D107" s="50">
        <v>101.5</v>
      </c>
      <c r="F107" s="17">
        <v>80</v>
      </c>
      <c r="G107" s="17">
        <v>277879.4100840991</v>
      </c>
      <c r="H107" s="17">
        <v>18811.589915900899</v>
      </c>
      <c r="I107">
        <f t="shared" si="1"/>
        <v>6.3404653042730992</v>
      </c>
    </row>
    <row r="108" spans="1:9" x14ac:dyDescent="0.2">
      <c r="A108" s="38">
        <v>236871</v>
      </c>
      <c r="B108" s="39">
        <v>92111</v>
      </c>
      <c r="C108" s="39">
        <v>41692</v>
      </c>
      <c r="D108" s="50">
        <v>105.1</v>
      </c>
      <c r="F108" s="17">
        <v>81</v>
      </c>
      <c r="G108" s="17">
        <v>254200.96466685887</v>
      </c>
      <c r="H108" s="17">
        <v>44317.035333141132</v>
      </c>
      <c r="I108">
        <f t="shared" si="1"/>
        <v>14.845682784000003</v>
      </c>
    </row>
    <row r="109" spans="1:9" x14ac:dyDescent="0.2">
      <c r="A109" s="38">
        <v>241312</v>
      </c>
      <c r="B109" s="39">
        <v>90313</v>
      </c>
      <c r="C109" s="39">
        <v>37341</v>
      </c>
      <c r="D109" s="50">
        <v>102</v>
      </c>
      <c r="F109" s="17">
        <v>82</v>
      </c>
      <c r="G109" s="17">
        <v>290922.35903179529</v>
      </c>
      <c r="H109" s="17">
        <v>35040.640968204709</v>
      </c>
      <c r="I109">
        <f t="shared" si="1"/>
        <v>10.749882952422425</v>
      </c>
    </row>
    <row r="110" spans="1:9" x14ac:dyDescent="0.2">
      <c r="A110" s="38">
        <v>135095</v>
      </c>
      <c r="B110" s="39">
        <v>42772</v>
      </c>
      <c r="C110" s="39">
        <v>26446</v>
      </c>
      <c r="D110" s="50">
        <v>100.4</v>
      </c>
      <c r="F110" s="17">
        <v>83</v>
      </c>
      <c r="G110" s="17">
        <v>266890.66972310882</v>
      </c>
      <c r="H110" s="17">
        <v>58523.330276891182</v>
      </c>
      <c r="I110">
        <f t="shared" si="1"/>
        <v>17.984269354388928</v>
      </c>
    </row>
    <row r="111" spans="1:9" x14ac:dyDescent="0.2">
      <c r="A111" s="38">
        <v>158009</v>
      </c>
      <c r="B111" s="39">
        <v>62380</v>
      </c>
      <c r="C111" s="39">
        <v>50389</v>
      </c>
      <c r="D111" s="50">
        <v>101</v>
      </c>
      <c r="F111" s="17">
        <v>84</v>
      </c>
      <c r="G111" s="17">
        <v>366668.35082365066</v>
      </c>
      <c r="H111" s="17">
        <v>12538.64917634934</v>
      </c>
      <c r="I111">
        <f t="shared" si="1"/>
        <v>3.306544756913596</v>
      </c>
    </row>
    <row r="112" spans="1:9" x14ac:dyDescent="0.2">
      <c r="A112" s="38">
        <v>156671</v>
      </c>
      <c r="B112" s="39">
        <v>56226</v>
      </c>
      <c r="C112" s="39">
        <v>59168</v>
      </c>
      <c r="D112" s="50">
        <v>98.9</v>
      </c>
      <c r="F112" s="17">
        <v>85</v>
      </c>
      <c r="G112" s="17">
        <v>153970.57653163699</v>
      </c>
      <c r="H112" s="17">
        <v>27268.423468363006</v>
      </c>
      <c r="I112">
        <f t="shared" si="1"/>
        <v>15.045560540702061</v>
      </c>
    </row>
    <row r="113" spans="1:9" x14ac:dyDescent="0.2">
      <c r="A113" s="38">
        <v>160552</v>
      </c>
      <c r="B113" s="39">
        <v>52940</v>
      </c>
      <c r="C113" s="39">
        <v>51364</v>
      </c>
      <c r="D113" s="50">
        <v>104.7</v>
      </c>
      <c r="F113" s="17">
        <v>86</v>
      </c>
      <c r="G113" s="17">
        <v>191123.42619010032</v>
      </c>
      <c r="H113" s="17">
        <v>5454.5738098996808</v>
      </c>
      <c r="I113">
        <f t="shared" si="1"/>
        <v>2.7747631016185337</v>
      </c>
    </row>
    <row r="114" spans="1:9" x14ac:dyDescent="0.2">
      <c r="A114" s="38">
        <v>187019</v>
      </c>
      <c r="B114" s="39">
        <v>67795</v>
      </c>
      <c r="C114" s="39">
        <v>39415</v>
      </c>
      <c r="D114" s="50">
        <v>102.5</v>
      </c>
      <c r="F114" s="17">
        <v>87</v>
      </c>
      <c r="G114" s="17">
        <v>168428.43091503813</v>
      </c>
      <c r="H114" s="17">
        <v>24757.56908496187</v>
      </c>
      <c r="I114">
        <f t="shared" si="1"/>
        <v>12.815405404616209</v>
      </c>
    </row>
    <row r="115" spans="1:9" x14ac:dyDescent="0.2">
      <c r="A115" s="38">
        <v>222003</v>
      </c>
      <c r="B115" s="39">
        <v>90942</v>
      </c>
      <c r="C115" s="39">
        <v>67160</v>
      </c>
      <c r="D115" s="50">
        <v>107.8</v>
      </c>
      <c r="F115" s="17">
        <v>88</v>
      </c>
      <c r="G115" s="17">
        <v>222046.86015698055</v>
      </c>
      <c r="H115" s="17">
        <v>-4343.8601569805469</v>
      </c>
      <c r="I115">
        <f t="shared" si="1"/>
        <v>1.9953147898653427</v>
      </c>
    </row>
    <row r="116" spans="1:9" x14ac:dyDescent="0.2">
      <c r="A116" s="38">
        <v>229270</v>
      </c>
      <c r="B116" s="39">
        <v>84010</v>
      </c>
      <c r="C116" s="39">
        <v>59818</v>
      </c>
      <c r="D116" s="50">
        <v>103.5</v>
      </c>
      <c r="F116" s="17">
        <v>89</v>
      </c>
      <c r="G116" s="17">
        <v>238686.9022903411</v>
      </c>
      <c r="H116" s="17">
        <v>1351.0977096589049</v>
      </c>
      <c r="I116">
        <f t="shared" si="1"/>
        <v>0.56286825821699271</v>
      </c>
    </row>
    <row r="117" spans="1:9" x14ac:dyDescent="0.2">
      <c r="A117" s="38">
        <v>241196</v>
      </c>
      <c r="B117" s="39">
        <v>96959</v>
      </c>
      <c r="C117" s="39">
        <v>63598</v>
      </c>
      <c r="D117" s="50">
        <v>93.7</v>
      </c>
      <c r="F117" s="17">
        <v>90</v>
      </c>
      <c r="G117" s="17">
        <v>197469.03640378418</v>
      </c>
      <c r="H117" s="17">
        <v>38161.963596215821</v>
      </c>
      <c r="I117">
        <f t="shared" si="1"/>
        <v>16.195646411641857</v>
      </c>
    </row>
    <row r="118" spans="1:9" x14ac:dyDescent="0.2">
      <c r="A118" s="38">
        <v>263087</v>
      </c>
      <c r="B118" s="39">
        <v>118444</v>
      </c>
      <c r="C118" s="39">
        <v>86509</v>
      </c>
      <c r="D118" s="50">
        <v>102.1</v>
      </c>
      <c r="F118" s="17">
        <v>91</v>
      </c>
      <c r="G118" s="17">
        <v>215675.44608430288</v>
      </c>
      <c r="H118" s="17">
        <v>43200.553915697121</v>
      </c>
      <c r="I118">
        <f t="shared" si="1"/>
        <v>16.687740043765015</v>
      </c>
    </row>
    <row r="119" spans="1:9" x14ac:dyDescent="0.2">
      <c r="A119" s="38">
        <v>288050</v>
      </c>
      <c r="B119" s="39">
        <v>101397</v>
      </c>
      <c r="C119" s="39">
        <v>98584</v>
      </c>
      <c r="D119" s="50">
        <v>103.9</v>
      </c>
      <c r="F119" s="17">
        <v>92</v>
      </c>
      <c r="G119" s="17">
        <v>250080.78096673379</v>
      </c>
      <c r="H119" s="17">
        <v>10215.219033266214</v>
      </c>
      <c r="I119">
        <f t="shared" si="1"/>
        <v>3.924462547740347</v>
      </c>
    </row>
    <row r="120" spans="1:9" x14ac:dyDescent="0.2">
      <c r="A120" s="38">
        <v>324716</v>
      </c>
      <c r="B120" s="39">
        <v>161933</v>
      </c>
      <c r="C120" s="39">
        <v>114049</v>
      </c>
      <c r="D120" s="50">
        <v>106.6</v>
      </c>
      <c r="F120" s="17">
        <v>93</v>
      </c>
      <c r="G120" s="17">
        <v>238512.50859285577</v>
      </c>
      <c r="H120" s="17">
        <v>41772.491407144233</v>
      </c>
      <c r="I120">
        <f t="shared" si="1"/>
        <v>14.903577218596869</v>
      </c>
    </row>
    <row r="121" spans="1:9" x14ac:dyDescent="0.2">
      <c r="A121" s="38">
        <v>304662</v>
      </c>
      <c r="B121" s="39">
        <v>114407</v>
      </c>
      <c r="C121" s="39">
        <v>91684</v>
      </c>
      <c r="D121" s="50">
        <v>103</v>
      </c>
      <c r="F121" s="17">
        <v>94</v>
      </c>
      <c r="G121" s="17">
        <v>246094.17841592111</v>
      </c>
      <c r="H121" s="17">
        <v>51050.821584078891</v>
      </c>
      <c r="I121">
        <f t="shared" si="1"/>
        <v>17.180441058768913</v>
      </c>
    </row>
    <row r="122" spans="1:9" x14ac:dyDescent="0.2">
      <c r="A122" s="38">
        <v>193883</v>
      </c>
      <c r="B122" s="39">
        <v>82655</v>
      </c>
      <c r="C122" s="39">
        <v>32329</v>
      </c>
      <c r="D122" s="50">
        <v>104.7</v>
      </c>
      <c r="F122" s="17">
        <v>95</v>
      </c>
      <c r="G122" s="17">
        <v>372275.86511687306</v>
      </c>
      <c r="H122" s="17">
        <v>16051.134883126942</v>
      </c>
      <c r="I122">
        <f t="shared" si="1"/>
        <v>4.1334068666682828</v>
      </c>
    </row>
    <row r="123" spans="1:9" x14ac:dyDescent="0.2">
      <c r="A123" s="38">
        <v>212184</v>
      </c>
      <c r="B123" s="39">
        <v>105670</v>
      </c>
      <c r="C123" s="39">
        <v>35120</v>
      </c>
      <c r="D123" s="50">
        <v>101.9</v>
      </c>
      <c r="F123" s="17">
        <v>96</v>
      </c>
      <c r="G123" s="17">
        <v>311959.80766701011</v>
      </c>
      <c r="H123" s="17">
        <v>37344.192332989885</v>
      </c>
      <c r="I123">
        <f t="shared" si="1"/>
        <v>10.691029113033315</v>
      </c>
    </row>
    <row r="124" spans="1:9" x14ac:dyDescent="0.2">
      <c r="A124" s="38">
        <v>214825</v>
      </c>
      <c r="B124" s="39">
        <v>110304</v>
      </c>
      <c r="C124" s="39">
        <v>48255</v>
      </c>
      <c r="D124" s="50">
        <v>95.3</v>
      </c>
      <c r="F124" s="17">
        <v>97</v>
      </c>
      <c r="G124" s="17">
        <v>129083.26533855383</v>
      </c>
      <c r="H124" s="17">
        <v>-20271.265338553829</v>
      </c>
      <c r="I124">
        <f t="shared" si="1"/>
        <v>18.629622963049876</v>
      </c>
    </row>
    <row r="125" spans="1:9" x14ac:dyDescent="0.2">
      <c r="A125" s="38">
        <v>223706</v>
      </c>
      <c r="B125" s="39">
        <v>152864</v>
      </c>
      <c r="C125" s="39">
        <v>47882</v>
      </c>
      <c r="D125" s="50">
        <v>99.8</v>
      </c>
      <c r="F125" s="17">
        <v>98</v>
      </c>
      <c r="G125" s="17">
        <v>129061.88135838807</v>
      </c>
      <c r="H125" s="17">
        <v>-31422.881358388069</v>
      </c>
      <c r="I125">
        <f t="shared" si="1"/>
        <v>32.18271526581394</v>
      </c>
    </row>
    <row r="126" spans="1:9" x14ac:dyDescent="0.2">
      <c r="A126" s="38">
        <v>249746</v>
      </c>
      <c r="B126" s="39">
        <v>153890</v>
      </c>
      <c r="C126" s="39">
        <v>51773</v>
      </c>
      <c r="D126" s="50">
        <v>103.1</v>
      </c>
      <c r="F126" s="17">
        <v>99</v>
      </c>
      <c r="G126" s="17">
        <v>148480.23705847288</v>
      </c>
      <c r="H126" s="17">
        <v>-24737.237058472878</v>
      </c>
      <c r="I126">
        <f t="shared" si="1"/>
        <v>19.99081730560345</v>
      </c>
    </row>
    <row r="127" spans="1:9" x14ac:dyDescent="0.2">
      <c r="A127" s="38">
        <v>274821</v>
      </c>
      <c r="B127" s="39">
        <v>155968</v>
      </c>
      <c r="C127" s="39">
        <v>45946</v>
      </c>
      <c r="D127" s="50">
        <v>103.3</v>
      </c>
      <c r="F127" s="17">
        <v>100</v>
      </c>
      <c r="G127" s="17">
        <v>141535.33760621888</v>
      </c>
      <c r="H127" s="17">
        <v>2634.6623937811237</v>
      </c>
      <c r="I127">
        <f t="shared" si="1"/>
        <v>1.8274692333919147</v>
      </c>
    </row>
    <row r="128" spans="1:9" x14ac:dyDescent="0.2">
      <c r="A128" s="38">
        <v>279673</v>
      </c>
      <c r="B128" s="39">
        <v>158357</v>
      </c>
      <c r="C128" s="39">
        <v>70696</v>
      </c>
      <c r="D128" s="50">
        <v>101.1</v>
      </c>
      <c r="F128" s="17">
        <v>101</v>
      </c>
      <c r="G128" s="17">
        <v>162962.077121996</v>
      </c>
      <c r="H128" s="17">
        <v>-10001.077121996001</v>
      </c>
      <c r="I128">
        <f t="shared" si="1"/>
        <v>6.5383183438889656</v>
      </c>
    </row>
    <row r="129" spans="1:9" x14ac:dyDescent="0.2">
      <c r="A129" s="38">
        <v>299936</v>
      </c>
      <c r="B129" s="39">
        <v>152465</v>
      </c>
      <c r="C129" s="39">
        <v>61354</v>
      </c>
      <c r="D129" s="50">
        <v>104.3</v>
      </c>
      <c r="F129" s="17">
        <v>102</v>
      </c>
      <c r="G129" s="17">
        <v>171316.31647492448</v>
      </c>
      <c r="H129" s="17">
        <v>-7939.3164749244752</v>
      </c>
      <c r="I129">
        <f t="shared" si="1"/>
        <v>4.8595068307806333</v>
      </c>
    </row>
    <row r="130" spans="1:9" x14ac:dyDescent="0.2">
      <c r="A130" s="38">
        <v>328241</v>
      </c>
      <c r="B130" s="39">
        <v>181847</v>
      </c>
      <c r="C130" s="39">
        <v>57142</v>
      </c>
      <c r="D130" s="50">
        <v>106.5</v>
      </c>
      <c r="F130" s="17">
        <v>103</v>
      </c>
      <c r="G130" s="17">
        <v>170891.15327177421</v>
      </c>
      <c r="H130" s="17">
        <v>11848.846728225792</v>
      </c>
      <c r="I130">
        <f t="shared" si="1"/>
        <v>6.4839918617849355</v>
      </c>
    </row>
    <row r="131" spans="1:9" x14ac:dyDescent="0.2">
      <c r="A131" s="38">
        <v>375400</v>
      </c>
      <c r="B131" s="39">
        <v>249129</v>
      </c>
      <c r="C131" s="39">
        <v>68521</v>
      </c>
      <c r="D131" s="50">
        <v>104.8</v>
      </c>
      <c r="F131" s="17">
        <v>104</v>
      </c>
      <c r="G131" s="17">
        <v>159096.74038727483</v>
      </c>
      <c r="H131" s="17">
        <v>18692.259612725175</v>
      </c>
      <c r="I131">
        <f t="shared" si="1"/>
        <v>10.513732352803141</v>
      </c>
    </row>
    <row r="132" spans="1:9" x14ac:dyDescent="0.2">
      <c r="A132" s="38">
        <v>377811</v>
      </c>
      <c r="B132" s="39">
        <v>231174</v>
      </c>
      <c r="C132" s="39">
        <v>96205</v>
      </c>
      <c r="D132" s="50">
        <v>100.9</v>
      </c>
      <c r="F132" s="17">
        <v>105</v>
      </c>
      <c r="G132" s="17">
        <v>166008.80859501183</v>
      </c>
      <c r="H132" s="17">
        <v>34861.191404988174</v>
      </c>
      <c r="I132">
        <f t="shared" si="1"/>
        <v>17.355101013087157</v>
      </c>
    </row>
    <row r="133" spans="1:9" x14ac:dyDescent="0.2">
      <c r="A133" s="38">
        <v>409565</v>
      </c>
      <c r="B133" s="39">
        <v>232728</v>
      </c>
      <c r="C133" s="39">
        <v>103327</v>
      </c>
      <c r="D133" s="50">
        <v>102.2</v>
      </c>
      <c r="F133" s="17">
        <v>106</v>
      </c>
      <c r="G133" s="17">
        <v>201102.08295073095</v>
      </c>
      <c r="H133" s="17">
        <v>7823.9170492690464</v>
      </c>
      <c r="I133">
        <f t="shared" si="1"/>
        <v>3.7448269000837837</v>
      </c>
    </row>
    <row r="134" spans="1:9" x14ac:dyDescent="0.2">
      <c r="A134" s="38">
        <v>129542</v>
      </c>
      <c r="B134" s="39">
        <v>55142</v>
      </c>
      <c r="C134" s="39">
        <v>31152</v>
      </c>
      <c r="D134" s="50">
        <v>104.8</v>
      </c>
      <c r="F134" s="17">
        <v>107</v>
      </c>
      <c r="G134" s="17">
        <v>208735.07573995457</v>
      </c>
      <c r="H134" s="17">
        <v>28135.924260045431</v>
      </c>
      <c r="I134">
        <f t="shared" si="1"/>
        <v>11.878163329426325</v>
      </c>
    </row>
    <row r="135" spans="1:9" x14ac:dyDescent="0.2">
      <c r="A135" s="38">
        <v>135671</v>
      </c>
      <c r="B135" s="39">
        <v>57541</v>
      </c>
      <c r="C135" s="39">
        <v>28317</v>
      </c>
      <c r="D135" s="50">
        <v>101.7</v>
      </c>
      <c r="F135" s="17">
        <v>108</v>
      </c>
      <c r="G135" s="17">
        <v>199971.39745792371</v>
      </c>
      <c r="H135" s="17">
        <v>41340.602542076289</v>
      </c>
      <c r="I135">
        <f t="shared" si="1"/>
        <v>17.131598321706459</v>
      </c>
    </row>
    <row r="136" spans="1:9" x14ac:dyDescent="0.2">
      <c r="A136" s="38">
        <v>143420</v>
      </c>
      <c r="B136" s="39">
        <v>72362</v>
      </c>
      <c r="C136" s="39">
        <v>34138</v>
      </c>
      <c r="D136" s="50">
        <v>99.5</v>
      </c>
      <c r="F136" s="17">
        <v>109</v>
      </c>
      <c r="G136" s="17">
        <v>131989.53828968437</v>
      </c>
      <c r="H136" s="17">
        <v>3105.4617103156343</v>
      </c>
      <c r="I136">
        <f t="shared" si="1"/>
        <v>2.298724386776442</v>
      </c>
    </row>
    <row r="137" spans="1:9" x14ac:dyDescent="0.2">
      <c r="A137" s="38">
        <v>171066</v>
      </c>
      <c r="B137" s="39">
        <v>84564</v>
      </c>
      <c r="C137" s="39">
        <v>29098</v>
      </c>
      <c r="D137" s="50">
        <v>102.2</v>
      </c>
      <c r="F137" s="17">
        <v>110</v>
      </c>
      <c r="G137" s="17">
        <v>166831.52912408698</v>
      </c>
      <c r="H137" s="17">
        <v>-8822.5291240869847</v>
      </c>
      <c r="I137">
        <f t="shared" si="1"/>
        <v>5.5835611415090183</v>
      </c>
    </row>
    <row r="138" spans="1:9" x14ac:dyDescent="0.2">
      <c r="A138" s="38">
        <v>154880</v>
      </c>
      <c r="B138" s="39">
        <v>83296</v>
      </c>
      <c r="C138" s="39">
        <v>28311</v>
      </c>
      <c r="D138" s="50">
        <v>102.8</v>
      </c>
      <c r="F138" s="17">
        <v>111</v>
      </c>
      <c r="G138" s="17">
        <v>158658.65814527596</v>
      </c>
      <c r="H138" s="17">
        <v>-1987.6581452759565</v>
      </c>
      <c r="I138">
        <f t="shared" si="1"/>
        <v>1.268682873841334</v>
      </c>
    </row>
    <row r="139" spans="1:9" x14ac:dyDescent="0.2">
      <c r="A139" s="38">
        <v>177728</v>
      </c>
      <c r="B139" s="39">
        <v>96072</v>
      </c>
      <c r="C139" s="39">
        <v>38514</v>
      </c>
      <c r="D139" s="50">
        <v>102.2</v>
      </c>
      <c r="F139" s="17">
        <v>112</v>
      </c>
      <c r="G139" s="17">
        <v>160784.76760167099</v>
      </c>
      <c r="H139" s="17">
        <v>-232.76760167098837</v>
      </c>
      <c r="I139">
        <f t="shared" si="1"/>
        <v>0.1449795715226147</v>
      </c>
    </row>
    <row r="140" spans="1:9" x14ac:dyDescent="0.2">
      <c r="A140" s="38">
        <v>175248</v>
      </c>
      <c r="B140" s="39">
        <v>70037</v>
      </c>
      <c r="C140" s="39">
        <v>40640</v>
      </c>
      <c r="D140" s="50">
        <v>102.6</v>
      </c>
      <c r="F140" s="17">
        <v>113</v>
      </c>
      <c r="G140" s="17">
        <v>172321.82964131382</v>
      </c>
      <c r="H140" s="17">
        <v>14697.170358686184</v>
      </c>
      <c r="I140">
        <f t="shared" si="1"/>
        <v>7.8586509171186796</v>
      </c>
    </row>
    <row r="141" spans="1:9" x14ac:dyDescent="0.2">
      <c r="A141" s="38">
        <v>204081</v>
      </c>
      <c r="B141" s="39">
        <v>102669</v>
      </c>
      <c r="C141" s="39">
        <v>41223</v>
      </c>
      <c r="D141" s="50">
        <v>93.1</v>
      </c>
      <c r="F141" s="17">
        <v>114</v>
      </c>
      <c r="G141" s="17">
        <v>220512.85685351409</v>
      </c>
      <c r="H141" s="17">
        <v>1490.1431464859052</v>
      </c>
      <c r="I141">
        <f t="shared" si="1"/>
        <v>0.67122658094075538</v>
      </c>
    </row>
    <row r="142" spans="1:9" x14ac:dyDescent="0.2">
      <c r="A142" s="38">
        <v>243236</v>
      </c>
      <c r="B142" s="39">
        <v>104695</v>
      </c>
      <c r="C142" s="39">
        <v>61896</v>
      </c>
      <c r="D142" s="50">
        <v>102.9</v>
      </c>
      <c r="F142" s="17">
        <v>115</v>
      </c>
      <c r="G142" s="17">
        <v>202143.53496327423</v>
      </c>
      <c r="H142" s="17">
        <v>27126.465036725771</v>
      </c>
      <c r="I142">
        <f t="shared" si="1"/>
        <v>11.831667918491636</v>
      </c>
    </row>
    <row r="143" spans="1:9" x14ac:dyDescent="0.2">
      <c r="A143" s="38">
        <v>287547</v>
      </c>
      <c r="B143" s="39">
        <v>148669</v>
      </c>
      <c r="C143" s="39">
        <v>63329</v>
      </c>
      <c r="D143" s="50">
        <v>103.5</v>
      </c>
      <c r="F143" s="17">
        <v>116</v>
      </c>
      <c r="G143" s="17">
        <v>204798.43021273299</v>
      </c>
      <c r="H143" s="17">
        <v>36397.569787267013</v>
      </c>
      <c r="I143">
        <f t="shared" si="1"/>
        <v>15.090453318988297</v>
      </c>
    </row>
    <row r="144" spans="1:9" x14ac:dyDescent="0.2">
      <c r="A144" s="38">
        <v>299102</v>
      </c>
      <c r="B144" s="39">
        <v>161202</v>
      </c>
      <c r="C144" s="39">
        <v>52399</v>
      </c>
      <c r="D144" s="50">
        <v>101.2</v>
      </c>
      <c r="F144" s="17">
        <v>117</v>
      </c>
      <c r="G144" s="17">
        <v>254012.91484072164</v>
      </c>
      <c r="H144" s="17">
        <v>9074.0851592783583</v>
      </c>
      <c r="I144">
        <f t="shared" si="1"/>
        <v>3.4490815430934858</v>
      </c>
    </row>
    <row r="145" spans="1:9" x14ac:dyDescent="0.2">
      <c r="A145" s="38">
        <v>284955</v>
      </c>
      <c r="B145" s="39">
        <v>115558</v>
      </c>
      <c r="C145" s="39">
        <v>77080</v>
      </c>
      <c r="D145" s="50">
        <v>104.8</v>
      </c>
      <c r="F145" s="17">
        <v>118</v>
      </c>
      <c r="G145" s="17">
        <v>239049.50244466835</v>
      </c>
      <c r="H145" s="17">
        <v>49000.497555331647</v>
      </c>
      <c r="I145">
        <f t="shared" si="1"/>
        <v>17.01110833373777</v>
      </c>
    </row>
    <row r="146" spans="1:9" x14ac:dyDescent="0.2">
      <c r="A146" s="38">
        <v>127834</v>
      </c>
      <c r="B146" s="39">
        <v>51726</v>
      </c>
      <c r="C146" s="39">
        <v>68778</v>
      </c>
      <c r="D146" s="50">
        <v>104.9</v>
      </c>
      <c r="F146" s="17">
        <v>119</v>
      </c>
      <c r="G146" s="17">
        <v>327223.82797386427</v>
      </c>
      <c r="H146" s="17">
        <v>-2507.8279738642741</v>
      </c>
      <c r="I146">
        <f t="shared" si="1"/>
        <v>0.77231426041965101</v>
      </c>
    </row>
    <row r="147" spans="1:9" x14ac:dyDescent="0.2">
      <c r="A147" s="38">
        <v>151303</v>
      </c>
      <c r="B147" s="39">
        <v>47179</v>
      </c>
      <c r="C147" s="39">
        <v>84045</v>
      </c>
      <c r="D147" s="50">
        <v>104.4</v>
      </c>
      <c r="F147" s="17">
        <v>120</v>
      </c>
      <c r="G147" s="17">
        <v>252037.9672548071</v>
      </c>
      <c r="H147" s="17">
        <v>52624.032745192904</v>
      </c>
      <c r="I147">
        <f t="shared" si="1"/>
        <v>17.272923024595421</v>
      </c>
    </row>
    <row r="148" spans="1:9" x14ac:dyDescent="0.2">
      <c r="A148" s="38">
        <v>160294</v>
      </c>
      <c r="B148" s="39">
        <v>53984</v>
      </c>
      <c r="C148" s="39">
        <v>55200</v>
      </c>
      <c r="D148" s="50">
        <v>102</v>
      </c>
      <c r="F148" s="17">
        <v>121</v>
      </c>
      <c r="G148" s="17">
        <v>192532.28010242552</v>
      </c>
      <c r="H148" s="17">
        <v>1350.7198975744832</v>
      </c>
      <c r="I148">
        <f t="shared" si="1"/>
        <v>0.69666752504060858</v>
      </c>
    </row>
    <row r="149" spans="1:9" x14ac:dyDescent="0.2">
      <c r="A149" s="38">
        <v>169487</v>
      </c>
      <c r="B149" s="39">
        <v>80066</v>
      </c>
      <c r="C149" s="39">
        <v>49118</v>
      </c>
      <c r="D149" s="50">
        <v>104</v>
      </c>
      <c r="F149" s="17">
        <v>122</v>
      </c>
      <c r="G149" s="17">
        <v>218922.25058639242</v>
      </c>
      <c r="H149" s="17">
        <v>-6738.2505863924162</v>
      </c>
      <c r="I149">
        <f t="shared" si="1"/>
        <v>3.1756638513707047</v>
      </c>
    </row>
    <row r="150" spans="1:9" x14ac:dyDescent="0.2">
      <c r="A150" s="38">
        <v>199184</v>
      </c>
      <c r="B150" s="39">
        <v>88806</v>
      </c>
      <c r="C150" s="39">
        <v>66131</v>
      </c>
      <c r="D150" s="50">
        <v>105.4</v>
      </c>
      <c r="F150" s="17">
        <v>123</v>
      </c>
      <c r="G150" s="17">
        <v>219171.02559518657</v>
      </c>
      <c r="H150" s="17">
        <v>-4346.0255951865693</v>
      </c>
      <c r="I150">
        <f t="shared" si="1"/>
        <v>2.0230539253748723</v>
      </c>
    </row>
    <row r="151" spans="1:9" x14ac:dyDescent="0.2">
      <c r="A151" s="38">
        <v>204164</v>
      </c>
      <c r="B151" s="39">
        <v>94664</v>
      </c>
      <c r="C151" s="39">
        <v>82101</v>
      </c>
      <c r="D151" s="50">
        <v>100.1</v>
      </c>
      <c r="F151" s="17">
        <v>124</v>
      </c>
      <c r="G151" s="17">
        <v>281278.89492579713</v>
      </c>
      <c r="H151" s="17">
        <v>-57572.894925797125</v>
      </c>
      <c r="I151">
        <f t="shared" si="1"/>
        <v>25.735963687070139</v>
      </c>
    </row>
    <row r="152" spans="1:9" x14ac:dyDescent="0.2">
      <c r="A152" s="38">
        <v>191739</v>
      </c>
      <c r="B152" s="39">
        <v>103846</v>
      </c>
      <c r="C152" s="39">
        <v>92769</v>
      </c>
      <c r="D152" s="50">
        <v>97.4</v>
      </c>
      <c r="F152" s="17">
        <v>125</v>
      </c>
      <c r="G152" s="17">
        <v>289194.79599059944</v>
      </c>
      <c r="H152" s="17">
        <v>-39448.795990599436</v>
      </c>
      <c r="I152">
        <f t="shared" si="1"/>
        <v>15.795566691998845</v>
      </c>
    </row>
    <row r="153" spans="1:9" x14ac:dyDescent="0.2">
      <c r="A153" s="38">
        <v>220930</v>
      </c>
      <c r="B153" s="39">
        <v>108418</v>
      </c>
      <c r="C153" s="39">
        <v>112563</v>
      </c>
      <c r="D153" s="50">
        <v>100.4</v>
      </c>
      <c r="F153" s="17">
        <v>126</v>
      </c>
      <c r="G153" s="17">
        <v>290136.0137695031</v>
      </c>
      <c r="H153" s="17">
        <v>-15315.013769503101</v>
      </c>
      <c r="I153">
        <f t="shared" si="1"/>
        <v>5.5727232524090589</v>
      </c>
    </row>
    <row r="154" spans="1:9" x14ac:dyDescent="0.2">
      <c r="A154" s="38">
        <v>254850</v>
      </c>
      <c r="B154" s="39">
        <v>114116</v>
      </c>
      <c r="C154" s="39">
        <v>98381</v>
      </c>
      <c r="D154" s="50">
        <v>103.5</v>
      </c>
      <c r="F154" s="17">
        <v>127</v>
      </c>
      <c r="G154" s="17">
        <v>298537.7290503988</v>
      </c>
      <c r="H154" s="17">
        <v>-18864.729050398804</v>
      </c>
      <c r="I154">
        <f t="shared" si="1"/>
        <v>6.745280756597456</v>
      </c>
    </row>
    <row r="155" spans="1:9" x14ac:dyDescent="0.2">
      <c r="A155" s="38">
        <v>266878</v>
      </c>
      <c r="B155" s="39">
        <v>104839</v>
      </c>
      <c r="C155" s="39">
        <v>133185</v>
      </c>
      <c r="D155" s="50">
        <v>104.3</v>
      </c>
      <c r="F155" s="17">
        <v>128</v>
      </c>
      <c r="G155" s="17">
        <v>292639.85682830174</v>
      </c>
      <c r="H155" s="17">
        <v>7296.1431716982624</v>
      </c>
      <c r="I155">
        <f t="shared" si="1"/>
        <v>2.4325666714559979</v>
      </c>
    </row>
    <row r="156" spans="1:9" x14ac:dyDescent="0.2">
      <c r="A156" s="38">
        <v>247952</v>
      </c>
      <c r="B156" s="39">
        <v>117272</v>
      </c>
      <c r="C156" s="39">
        <v>106974</v>
      </c>
      <c r="D156" s="50">
        <v>101.1</v>
      </c>
      <c r="F156" s="17">
        <v>129</v>
      </c>
      <c r="G156" s="17">
        <v>332684.08372581645</v>
      </c>
      <c r="H156" s="17">
        <v>-4443.0837258164538</v>
      </c>
      <c r="I156">
        <f t="shared" si="1"/>
        <v>1.3536041280085223</v>
      </c>
    </row>
    <row r="157" spans="1:9" x14ac:dyDescent="0.2">
      <c r="A157" s="38">
        <v>300913</v>
      </c>
      <c r="B157" s="39">
        <v>133241</v>
      </c>
      <c r="C157" s="39">
        <v>128744</v>
      </c>
      <c r="D157" s="50">
        <v>101.7</v>
      </c>
      <c r="F157" s="17">
        <v>130</v>
      </c>
      <c r="G157" s="17">
        <v>421207.08877558343</v>
      </c>
      <c r="H157" s="17">
        <v>-45807.088775583426</v>
      </c>
      <c r="I157">
        <f t="shared" ref="I157:I195" si="2">ABS((A131-G157)/A131)*100</f>
        <v>12.202207984971611</v>
      </c>
    </row>
    <row r="158" spans="1:9" x14ac:dyDescent="0.2">
      <c r="A158" s="38">
        <v>143881</v>
      </c>
      <c r="B158" s="39">
        <v>57169</v>
      </c>
      <c r="C158" s="39">
        <v>77226</v>
      </c>
      <c r="D158" s="50">
        <v>102.2</v>
      </c>
      <c r="F158" s="17">
        <v>131</v>
      </c>
      <c r="G158" s="17">
        <v>401609.72742546059</v>
      </c>
      <c r="H158" s="17">
        <v>-23798.727425460587</v>
      </c>
      <c r="I158">
        <f t="shared" si="2"/>
        <v>6.2991091909607153</v>
      </c>
    </row>
    <row r="159" spans="1:9" x14ac:dyDescent="0.2">
      <c r="A159" s="38">
        <v>145268</v>
      </c>
      <c r="B159" s="39">
        <v>66689</v>
      </c>
      <c r="C159" s="39">
        <v>109230</v>
      </c>
      <c r="D159" s="50">
        <v>103.2</v>
      </c>
      <c r="F159" s="17">
        <v>132</v>
      </c>
      <c r="G159" s="17">
        <v>408200.02432985738</v>
      </c>
      <c r="H159" s="17">
        <v>1364.9756701426231</v>
      </c>
      <c r="I159">
        <f t="shared" si="2"/>
        <v>0.33327449126332159</v>
      </c>
    </row>
    <row r="160" spans="1:9" x14ac:dyDescent="0.2">
      <c r="A160" s="38">
        <v>176185</v>
      </c>
      <c r="B160" s="39">
        <v>76945</v>
      </c>
      <c r="C160" s="39">
        <v>105704</v>
      </c>
      <c r="D160" s="50">
        <v>99.3</v>
      </c>
      <c r="F160" s="17">
        <v>133</v>
      </c>
      <c r="G160" s="17">
        <v>156627.16892846089</v>
      </c>
      <c r="H160" s="17">
        <v>-27085.168928460887</v>
      </c>
      <c r="I160">
        <f t="shared" si="2"/>
        <v>20.908407256689635</v>
      </c>
    </row>
    <row r="161" spans="1:9" x14ac:dyDescent="0.2">
      <c r="A161" s="38">
        <v>193746</v>
      </c>
      <c r="B161" s="39">
        <v>93794</v>
      </c>
      <c r="C161" s="39">
        <v>147709</v>
      </c>
      <c r="D161" s="50">
        <v>104.5</v>
      </c>
      <c r="F161" s="17">
        <v>134</v>
      </c>
      <c r="G161" s="17">
        <v>153838.72051128154</v>
      </c>
      <c r="H161" s="17">
        <v>-18167.720511281543</v>
      </c>
      <c r="I161">
        <f t="shared" si="2"/>
        <v>13.391012457549175</v>
      </c>
    </row>
    <row r="162" spans="1:9" x14ac:dyDescent="0.2">
      <c r="A162" s="38">
        <v>217219</v>
      </c>
      <c r="B162" s="39">
        <v>90675</v>
      </c>
      <c r="C162" s="39">
        <v>133034</v>
      </c>
      <c r="D162" s="50">
        <v>102.7</v>
      </c>
      <c r="F162" s="17">
        <v>135</v>
      </c>
      <c r="G162" s="17">
        <v>171633.92602822126</v>
      </c>
      <c r="H162" s="17">
        <v>-28213.926028221264</v>
      </c>
      <c r="I162">
        <f t="shared" si="2"/>
        <v>19.672239595747641</v>
      </c>
    </row>
    <row r="163" spans="1:9" x14ac:dyDescent="0.2">
      <c r="A163" s="38">
        <v>218581</v>
      </c>
      <c r="B163" s="39">
        <v>74374</v>
      </c>
      <c r="C163" s="39">
        <v>120917</v>
      </c>
      <c r="D163" s="50">
        <v>99.8</v>
      </c>
      <c r="F163" s="17">
        <v>136</v>
      </c>
      <c r="G163" s="17">
        <v>189915.21943843502</v>
      </c>
      <c r="H163" s="17">
        <v>-18849.219438435015</v>
      </c>
      <c r="I163">
        <f t="shared" si="2"/>
        <v>11.01868251928204</v>
      </c>
    </row>
    <row r="164" spans="1:9" x14ac:dyDescent="0.2">
      <c r="A164" s="38">
        <v>244750</v>
      </c>
      <c r="B164" s="39">
        <v>104495</v>
      </c>
      <c r="C164" s="39">
        <v>164108</v>
      </c>
      <c r="D164" s="50">
        <v>106.2</v>
      </c>
      <c r="F164" s="17">
        <v>137</v>
      </c>
      <c r="G164" s="17">
        <v>188939.97162783655</v>
      </c>
      <c r="H164" s="17">
        <v>-34059.971627836552</v>
      </c>
      <c r="I164">
        <f t="shared" si="2"/>
        <v>21.991200689460584</v>
      </c>
    </row>
    <row r="165" spans="1:9" x14ac:dyDescent="0.2">
      <c r="A165" s="38">
        <v>249889</v>
      </c>
      <c r="B165" s="39">
        <v>125279</v>
      </c>
      <c r="C165" s="39">
        <v>137469</v>
      </c>
      <c r="D165" s="50">
        <v>95.5</v>
      </c>
      <c r="F165" s="17">
        <v>138</v>
      </c>
      <c r="G165" s="17">
        <v>208164.24265862029</v>
      </c>
      <c r="H165" s="17">
        <v>-30436.242658620293</v>
      </c>
      <c r="I165">
        <f t="shared" si="2"/>
        <v>17.12518154630688</v>
      </c>
    </row>
    <row r="166" spans="1:9" x14ac:dyDescent="0.2">
      <c r="A166" s="38">
        <v>262661</v>
      </c>
      <c r="B166" s="39">
        <v>99028</v>
      </c>
      <c r="C166" s="39">
        <v>275436</v>
      </c>
      <c r="D166" s="50">
        <v>99.2</v>
      </c>
      <c r="F166" s="17">
        <v>139</v>
      </c>
      <c r="G166" s="17">
        <v>175818.76235231705</v>
      </c>
      <c r="H166" s="17">
        <v>-570.76235231704777</v>
      </c>
      <c r="I166">
        <f t="shared" si="2"/>
        <v>0.32568836866443429</v>
      </c>
    </row>
    <row r="167" spans="1:9" x14ac:dyDescent="0.2">
      <c r="A167" s="38">
        <v>297224</v>
      </c>
      <c r="B167" s="39">
        <v>122281</v>
      </c>
      <c r="C167" s="39">
        <v>222284</v>
      </c>
      <c r="D167" s="50">
        <v>101.5</v>
      </c>
      <c r="F167" s="17">
        <v>140</v>
      </c>
      <c r="G167" s="17">
        <v>203314.18643523718</v>
      </c>
      <c r="H167" s="17">
        <v>766.81356476282235</v>
      </c>
      <c r="I167">
        <f t="shared" si="2"/>
        <v>0.37573981152719865</v>
      </c>
    </row>
    <row r="168" spans="1:9" x14ac:dyDescent="0.2">
      <c r="A168" s="38">
        <v>334222</v>
      </c>
      <c r="B168" s="39">
        <v>162971</v>
      </c>
      <c r="C168" s="39">
        <v>226387</v>
      </c>
      <c r="D168" s="50">
        <v>96.9</v>
      </c>
      <c r="F168" s="17">
        <v>141</v>
      </c>
      <c r="G168" s="17">
        <v>228733.03689164811</v>
      </c>
      <c r="H168" s="17">
        <v>14502.963108351891</v>
      </c>
      <c r="I168">
        <f t="shared" si="2"/>
        <v>5.9625068280813247</v>
      </c>
    </row>
    <row r="169" spans="1:9" ht="17" thickBot="1" x14ac:dyDescent="0.25">
      <c r="A169" s="51">
        <v>356606</v>
      </c>
      <c r="B169" s="52">
        <v>172911</v>
      </c>
      <c r="C169" s="52">
        <v>267491</v>
      </c>
      <c r="D169" s="53">
        <v>104.3</v>
      </c>
      <c r="F169" s="17">
        <v>142</v>
      </c>
      <c r="G169" s="17">
        <v>287160.02882490505</v>
      </c>
      <c r="H169" s="17">
        <v>386.97117509495001</v>
      </c>
      <c r="I169">
        <f t="shared" si="2"/>
        <v>0.13457666923840278</v>
      </c>
    </row>
    <row r="170" spans="1:9" x14ac:dyDescent="0.2">
      <c r="A170" s="54"/>
      <c r="B170" s="54"/>
      <c r="C170" s="54"/>
      <c r="F170" s="17">
        <v>143</v>
      </c>
      <c r="G170" s="17">
        <v>295892.35380490031</v>
      </c>
      <c r="H170" s="17">
        <v>3209.6461950996891</v>
      </c>
      <c r="I170">
        <f t="shared" si="2"/>
        <v>1.0730941936528973</v>
      </c>
    </row>
    <row r="171" spans="1:9" x14ac:dyDescent="0.2">
      <c r="A171" s="54"/>
      <c r="B171" s="54"/>
      <c r="C171" s="54"/>
      <c r="F171" s="17">
        <v>144</v>
      </c>
      <c r="G171" s="17">
        <v>251189.82993687698</v>
      </c>
      <c r="H171" s="17">
        <v>33765.17006312302</v>
      </c>
      <c r="I171">
        <f t="shared" si="2"/>
        <v>11.849299034276648</v>
      </c>
    </row>
    <row r="172" spans="1:9" x14ac:dyDescent="0.2">
      <c r="A172" s="54"/>
      <c r="B172" s="54"/>
      <c r="C172" s="54"/>
      <c r="F172" s="17">
        <v>145</v>
      </c>
      <c r="G172" s="17">
        <v>165703.41867811896</v>
      </c>
      <c r="H172" s="17">
        <v>-37869.418678118964</v>
      </c>
      <c r="I172">
        <f t="shared" si="2"/>
        <v>29.623901839979162</v>
      </c>
    </row>
    <row r="173" spans="1:9" x14ac:dyDescent="0.2">
      <c r="A173" s="54"/>
      <c r="B173" s="54"/>
      <c r="C173" s="54"/>
      <c r="F173" s="17">
        <v>146</v>
      </c>
      <c r="G173" s="17">
        <v>164437.99421142734</v>
      </c>
      <c r="H173" s="17">
        <v>-13134.994211427344</v>
      </c>
      <c r="I173">
        <f t="shared" si="2"/>
        <v>8.6812516681277589</v>
      </c>
    </row>
    <row r="174" spans="1:9" x14ac:dyDescent="0.2">
      <c r="A174" s="54"/>
      <c r="B174" s="54"/>
      <c r="C174" s="54"/>
      <c r="F174" s="17">
        <v>147</v>
      </c>
      <c r="G174" s="17">
        <v>159237.80555606904</v>
      </c>
      <c r="H174" s="17">
        <v>1056.1944439309591</v>
      </c>
      <c r="I174">
        <f t="shared" si="2"/>
        <v>0.65891077890061955</v>
      </c>
    </row>
    <row r="175" spans="1:9" x14ac:dyDescent="0.2">
      <c r="A175" s="54"/>
      <c r="B175" s="54"/>
      <c r="C175" s="54"/>
      <c r="F175" s="17">
        <v>148</v>
      </c>
      <c r="G175" s="17">
        <v>194027.84009390551</v>
      </c>
      <c r="H175" s="17">
        <v>-24540.840093905514</v>
      </c>
      <c r="I175">
        <f t="shared" si="2"/>
        <v>14.47948225758053</v>
      </c>
    </row>
    <row r="176" spans="1:9" x14ac:dyDescent="0.2">
      <c r="A176" s="54"/>
      <c r="B176" s="54"/>
      <c r="C176" s="54"/>
      <c r="F176" s="17">
        <v>149</v>
      </c>
      <c r="G176" s="17">
        <v>213593.87524426699</v>
      </c>
      <c r="H176" s="17">
        <v>-14409.875244266994</v>
      </c>
      <c r="I176">
        <f t="shared" si="2"/>
        <v>7.2344541952501178</v>
      </c>
    </row>
    <row r="177" spans="1:9" x14ac:dyDescent="0.2">
      <c r="A177" s="54"/>
      <c r="B177" s="54"/>
      <c r="C177" s="54"/>
      <c r="F177" s="17">
        <v>150</v>
      </c>
      <c r="G177" s="17">
        <v>218485.00399969111</v>
      </c>
      <c r="H177" s="17">
        <v>-14321.003999691107</v>
      </c>
      <c r="I177">
        <f t="shared" si="2"/>
        <v>7.01446092341995</v>
      </c>
    </row>
    <row r="178" spans="1:9" x14ac:dyDescent="0.2">
      <c r="A178" s="54"/>
      <c r="B178" s="54"/>
      <c r="C178" s="54"/>
      <c r="F178" s="17">
        <v>151</v>
      </c>
      <c r="G178" s="17">
        <v>229904.51507994399</v>
      </c>
      <c r="H178" s="17">
        <v>-38165.515079943987</v>
      </c>
      <c r="I178">
        <f t="shared" si="2"/>
        <v>19.904930702644734</v>
      </c>
    </row>
    <row r="179" spans="1:9" x14ac:dyDescent="0.2">
      <c r="A179" s="54"/>
      <c r="B179" s="54"/>
      <c r="C179" s="54"/>
      <c r="F179" s="17">
        <v>152</v>
      </c>
      <c r="G179" s="17">
        <v>247581.28601663496</v>
      </c>
      <c r="H179" s="17">
        <v>-26651.286016634956</v>
      </c>
      <c r="I179">
        <f t="shared" si="2"/>
        <v>12.06322636882042</v>
      </c>
    </row>
    <row r="180" spans="1:9" x14ac:dyDescent="0.2">
      <c r="A180" s="54"/>
      <c r="B180" s="54"/>
      <c r="C180" s="54"/>
      <c r="F180" s="17">
        <v>153</v>
      </c>
      <c r="G180" s="17">
        <v>254824.95625070907</v>
      </c>
      <c r="H180" s="17">
        <v>25.043749290925916</v>
      </c>
      <c r="I180">
        <f t="shared" si="2"/>
        <v>9.8268586583974572E-3</v>
      </c>
    </row>
    <row r="181" spans="1:9" x14ac:dyDescent="0.2">
      <c r="A181" s="54"/>
      <c r="B181" s="54"/>
      <c r="C181" s="54"/>
      <c r="F181" s="17">
        <v>154</v>
      </c>
      <c r="G181" s="17">
        <v>256411.3889816663</v>
      </c>
      <c r="H181" s="17">
        <v>10466.6110183337</v>
      </c>
      <c r="I181">
        <f t="shared" si="2"/>
        <v>3.9218710490687507</v>
      </c>
    </row>
    <row r="182" spans="1:9" x14ac:dyDescent="0.2">
      <c r="A182" s="54"/>
      <c r="B182" s="54"/>
      <c r="C182" s="54"/>
      <c r="F182" s="17">
        <v>155</v>
      </c>
      <c r="G182" s="17">
        <v>258174.69294311202</v>
      </c>
      <c r="H182" s="17">
        <v>-10222.692943112022</v>
      </c>
      <c r="I182">
        <f t="shared" si="2"/>
        <v>4.1228515773665961</v>
      </c>
    </row>
    <row r="183" spans="1:9" x14ac:dyDescent="0.2">
      <c r="A183" s="54"/>
      <c r="B183" s="54"/>
      <c r="C183" s="54"/>
      <c r="F183" s="17">
        <v>156</v>
      </c>
      <c r="G183" s="17">
        <v>287531.38361208863</v>
      </c>
      <c r="H183" s="17">
        <v>13381.616387911374</v>
      </c>
      <c r="I183">
        <f t="shared" si="2"/>
        <v>4.4470050771855565</v>
      </c>
    </row>
    <row r="184" spans="1:9" x14ac:dyDescent="0.2">
      <c r="A184" s="54"/>
      <c r="B184" s="54"/>
      <c r="C184" s="54"/>
      <c r="F184" s="17">
        <v>157</v>
      </c>
      <c r="G184" s="17">
        <v>171491.40226092996</v>
      </c>
      <c r="H184" s="17">
        <v>-27610.402260929957</v>
      </c>
      <c r="I184">
        <f t="shared" si="2"/>
        <v>19.189748654047413</v>
      </c>
    </row>
    <row r="185" spans="1:9" x14ac:dyDescent="0.2">
      <c r="A185" s="54"/>
      <c r="B185" s="54"/>
      <c r="C185" s="54"/>
      <c r="F185" s="17">
        <v>158</v>
      </c>
      <c r="G185" s="17">
        <v>196753.4939842911</v>
      </c>
      <c r="H185" s="17">
        <v>-51485.493984291097</v>
      </c>
      <c r="I185">
        <f t="shared" si="2"/>
        <v>35.441731134379971</v>
      </c>
    </row>
    <row r="186" spans="1:9" x14ac:dyDescent="0.2">
      <c r="A186" s="54"/>
      <c r="B186" s="54"/>
      <c r="C186" s="54"/>
      <c r="F186" s="17">
        <v>159</v>
      </c>
      <c r="G186" s="17">
        <v>202637.17670573681</v>
      </c>
      <c r="H186" s="17">
        <v>-26452.176705736812</v>
      </c>
      <c r="I186">
        <f t="shared" si="2"/>
        <v>15.013864236874202</v>
      </c>
    </row>
    <row r="187" spans="1:9" x14ac:dyDescent="0.2">
      <c r="A187" s="54"/>
      <c r="B187" s="54"/>
      <c r="C187" s="54"/>
      <c r="F187" s="17">
        <v>160</v>
      </c>
      <c r="G187" s="17">
        <v>247568.18382444279</v>
      </c>
      <c r="H187" s="17">
        <v>-53822.183824442793</v>
      </c>
      <c r="I187">
        <f t="shared" si="2"/>
        <v>27.779765169057836</v>
      </c>
    </row>
    <row r="188" spans="1:9" x14ac:dyDescent="0.2">
      <c r="A188" s="54"/>
      <c r="B188" s="54"/>
      <c r="C188" s="54"/>
      <c r="F188" s="17">
        <v>161</v>
      </c>
      <c r="G188" s="17">
        <v>235482.70658770524</v>
      </c>
      <c r="H188" s="17">
        <v>-18263.706587705237</v>
      </c>
      <c r="I188">
        <f t="shared" si="2"/>
        <v>8.4079691867218038</v>
      </c>
    </row>
    <row r="189" spans="1:9" x14ac:dyDescent="0.2">
      <c r="A189" s="54"/>
      <c r="B189" s="54"/>
      <c r="C189" s="54"/>
      <c r="F189" s="17">
        <v>162</v>
      </c>
      <c r="G189" s="17">
        <v>205490.45881222197</v>
      </c>
      <c r="H189" s="17">
        <v>13090.541187778028</v>
      </c>
      <c r="I189">
        <f t="shared" si="2"/>
        <v>5.9888742332490139</v>
      </c>
    </row>
    <row r="190" spans="1:9" x14ac:dyDescent="0.2">
      <c r="A190" s="54"/>
      <c r="B190" s="54"/>
      <c r="C190" s="54"/>
      <c r="F190" s="17">
        <v>163</v>
      </c>
      <c r="G190" s="17">
        <v>269930.44003961695</v>
      </c>
      <c r="H190" s="17">
        <v>-25180.440039616951</v>
      </c>
      <c r="I190">
        <f t="shared" si="2"/>
        <v>10.288228821089664</v>
      </c>
    </row>
    <row r="191" spans="1:9" x14ac:dyDescent="0.2">
      <c r="A191" s="54"/>
      <c r="B191" s="54"/>
      <c r="C191" s="54"/>
      <c r="F191" s="17">
        <v>164</v>
      </c>
      <c r="G191" s="17">
        <v>270528.04513184045</v>
      </c>
      <c r="H191" s="17">
        <v>-20639.045131840452</v>
      </c>
      <c r="I191">
        <f t="shared" si="2"/>
        <v>8.2592851753540373</v>
      </c>
    </row>
    <row r="192" spans="1:9" x14ac:dyDescent="0.2">
      <c r="A192" s="54"/>
      <c r="B192" s="54"/>
      <c r="C192" s="54"/>
      <c r="F192" s="17">
        <v>165</v>
      </c>
      <c r="G192" s="17">
        <v>291285.88249320193</v>
      </c>
      <c r="H192" s="17">
        <v>-28624.882493201934</v>
      </c>
      <c r="I192">
        <f t="shared" si="2"/>
        <v>10.898033013352547</v>
      </c>
    </row>
    <row r="193" spans="1:9" x14ac:dyDescent="0.2">
      <c r="A193" s="54"/>
      <c r="B193" s="54"/>
      <c r="C193" s="54"/>
      <c r="F193" s="17">
        <v>166</v>
      </c>
      <c r="G193" s="17">
        <v>306190.49555063795</v>
      </c>
      <c r="H193" s="17">
        <v>-8966.4955506379483</v>
      </c>
      <c r="I193">
        <f t="shared" si="2"/>
        <v>3.0167468140654687</v>
      </c>
    </row>
    <row r="194" spans="1:9" x14ac:dyDescent="0.2">
      <c r="A194" s="54"/>
      <c r="B194" s="54"/>
      <c r="C194" s="54"/>
      <c r="F194" s="17">
        <v>167</v>
      </c>
      <c r="G194" s="17">
        <v>353105.25347742916</v>
      </c>
      <c r="H194" s="17">
        <v>-18883.253477429156</v>
      </c>
      <c r="I194">
        <f t="shared" si="2"/>
        <v>5.6499133741732006</v>
      </c>
    </row>
    <row r="195" spans="1:9" ht="17" thickBot="1" x14ac:dyDescent="0.25">
      <c r="F195" s="18">
        <v>168</v>
      </c>
      <c r="G195" s="17">
        <v>392236.62816515088</v>
      </c>
      <c r="H195" s="17">
        <v>-35630.628165150876</v>
      </c>
      <c r="I195">
        <f t="shared" si="2"/>
        <v>9.991595252225391</v>
      </c>
    </row>
    <row r="196" spans="1:9" ht="17" thickBot="1" x14ac:dyDescent="0.25">
      <c r="G196" s="165" t="s">
        <v>63</v>
      </c>
      <c r="H196" s="166"/>
      <c r="I196" s="73">
        <f>AVERAGE(I28:I195)</f>
        <v>9.1301443573642427</v>
      </c>
    </row>
  </sheetData>
  <mergeCells count="10">
    <mergeCell ref="V20:W26"/>
    <mergeCell ref="R20:U20"/>
    <mergeCell ref="P22:Q26"/>
    <mergeCell ref="R22:S26"/>
    <mergeCell ref="T22:U26"/>
    <mergeCell ref="I9:M9"/>
    <mergeCell ref="J23:N23"/>
    <mergeCell ref="G196:H196"/>
    <mergeCell ref="I6:M7"/>
    <mergeCell ref="P20:Q20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224136-FEA3-C948-AA65-319EA3F7E494}">
  <dimension ref="A1:Y197"/>
  <sheetViews>
    <sheetView topLeftCell="P20" zoomScale="185" workbookViewId="0">
      <selection activeCell="P18" sqref="P18"/>
    </sheetView>
  </sheetViews>
  <sheetFormatPr baseColWidth="10" defaultRowHeight="16" x14ac:dyDescent="0.2"/>
  <cols>
    <col min="1" max="5" width="10.83203125" style="40"/>
    <col min="7" max="7" width="24.83203125" bestFit="1" customWidth="1"/>
    <col min="8" max="8" width="16.33203125" bestFit="1" customWidth="1"/>
    <col min="9" max="9" width="21.5" bestFit="1" customWidth="1"/>
    <col min="10" max="10" width="21" customWidth="1"/>
    <col min="11" max="11" width="15" customWidth="1"/>
    <col min="12" max="12" width="18.6640625" customWidth="1"/>
    <col min="13" max="13" width="14.33203125" customWidth="1"/>
    <col min="14" max="14" width="15.33203125" customWidth="1"/>
    <col min="15" max="15" width="14.1640625" bestFit="1" customWidth="1"/>
    <col min="16" max="16" width="23.33203125" customWidth="1"/>
    <col min="19" max="19" width="13.5" customWidth="1"/>
    <col min="23" max="23" width="12.33203125" customWidth="1"/>
    <col min="25" max="25" width="12.33203125" customWidth="1"/>
  </cols>
  <sheetData>
    <row r="1" spans="1:14" ht="17" thickBot="1" x14ac:dyDescent="0.25">
      <c r="A1" s="24" t="s">
        <v>22</v>
      </c>
      <c r="B1" s="25" t="s">
        <v>23</v>
      </c>
      <c r="C1" s="25" t="s">
        <v>24</v>
      </c>
      <c r="D1" s="25" t="s">
        <v>25</v>
      </c>
      <c r="E1" s="24" t="s">
        <v>26</v>
      </c>
    </row>
    <row r="2" spans="1:14" x14ac:dyDescent="0.2">
      <c r="A2" s="38">
        <v>163139</v>
      </c>
      <c r="B2" s="39">
        <v>62643</v>
      </c>
      <c r="C2" s="39">
        <v>63293</v>
      </c>
      <c r="D2" s="63">
        <v>103.1</v>
      </c>
      <c r="E2" s="65">
        <v>99341</v>
      </c>
      <c r="G2" t="s">
        <v>27</v>
      </c>
    </row>
    <row r="3" spans="1:14" ht="17" thickBot="1" x14ac:dyDescent="0.25">
      <c r="A3" s="38">
        <v>182664</v>
      </c>
      <c r="B3" s="39">
        <v>72704</v>
      </c>
      <c r="C3" s="39">
        <v>52978</v>
      </c>
      <c r="D3" s="63">
        <v>103.3</v>
      </c>
      <c r="E3" s="65">
        <v>101110</v>
      </c>
    </row>
    <row r="4" spans="1:14" x14ac:dyDescent="0.2">
      <c r="A4" s="38">
        <v>192261</v>
      </c>
      <c r="B4" s="39">
        <v>81669</v>
      </c>
      <c r="C4" s="39">
        <v>54020</v>
      </c>
      <c r="D4" s="63">
        <v>101.3</v>
      </c>
      <c r="E4" s="65">
        <v>94569</v>
      </c>
      <c r="G4" s="26" t="s">
        <v>28</v>
      </c>
      <c r="H4" s="26"/>
    </row>
    <row r="5" spans="1:14" ht="17" thickBot="1" x14ac:dyDescent="0.25">
      <c r="A5" s="38">
        <v>198394</v>
      </c>
      <c r="B5" s="39">
        <v>87792</v>
      </c>
      <c r="C5" s="39">
        <v>71826</v>
      </c>
      <c r="D5" s="63">
        <v>98.9</v>
      </c>
      <c r="E5" s="65">
        <v>96833</v>
      </c>
      <c r="G5" s="17" t="s">
        <v>29</v>
      </c>
      <c r="H5" s="17">
        <v>0.93203908192930351</v>
      </c>
    </row>
    <row r="6" spans="1:14" x14ac:dyDescent="0.2">
      <c r="A6" s="38">
        <v>230837</v>
      </c>
      <c r="B6" s="39">
        <v>106131</v>
      </c>
      <c r="C6" s="39">
        <v>87050</v>
      </c>
      <c r="D6" s="63">
        <v>107.2</v>
      </c>
      <c r="E6" s="65">
        <v>91346</v>
      </c>
      <c r="G6" s="17" t="s">
        <v>30</v>
      </c>
      <c r="H6" s="17">
        <v>0.86869685024361887</v>
      </c>
      <c r="I6" s="67">
        <f>H6</f>
        <v>0.86869685024361887</v>
      </c>
      <c r="J6" s="126" t="s">
        <v>83</v>
      </c>
      <c r="K6" s="127"/>
      <c r="L6" s="127"/>
      <c r="M6" s="127"/>
      <c r="N6" s="128"/>
    </row>
    <row r="7" spans="1:14" ht="17" thickBot="1" x14ac:dyDescent="0.25">
      <c r="A7" s="38">
        <v>237094</v>
      </c>
      <c r="B7" s="39">
        <v>89359</v>
      </c>
      <c r="C7" s="39">
        <v>91321</v>
      </c>
      <c r="D7" s="63">
        <v>106</v>
      </c>
      <c r="E7" s="65">
        <v>94647</v>
      </c>
      <c r="G7" s="17" t="s">
        <v>31</v>
      </c>
      <c r="H7" s="17">
        <v>0.86547468705941322</v>
      </c>
      <c r="J7" s="129"/>
      <c r="K7" s="130"/>
      <c r="L7" s="130"/>
      <c r="M7" s="130"/>
      <c r="N7" s="131"/>
    </row>
    <row r="8" spans="1:14" ht="17" thickBot="1" x14ac:dyDescent="0.25">
      <c r="A8" s="38">
        <v>243098</v>
      </c>
      <c r="B8" s="39">
        <v>106199</v>
      </c>
      <c r="C8" s="39">
        <v>95031</v>
      </c>
      <c r="D8" s="63">
        <v>101.3</v>
      </c>
      <c r="E8" s="65">
        <v>103308</v>
      </c>
      <c r="G8" s="17" t="s">
        <v>32</v>
      </c>
      <c r="H8" s="17">
        <v>25083.542714248328</v>
      </c>
    </row>
    <row r="9" spans="1:14" ht="28" customHeight="1" thickBot="1" x14ac:dyDescent="0.25">
      <c r="A9" s="38">
        <v>263853</v>
      </c>
      <c r="B9" s="39">
        <v>110381</v>
      </c>
      <c r="C9" s="39">
        <v>100551</v>
      </c>
      <c r="D9" s="63">
        <v>103.3</v>
      </c>
      <c r="E9" s="65">
        <v>119986</v>
      </c>
      <c r="G9" s="18" t="s">
        <v>33</v>
      </c>
      <c r="H9" s="18">
        <v>168</v>
      </c>
      <c r="J9" s="159" t="s">
        <v>62</v>
      </c>
      <c r="K9" s="160"/>
      <c r="L9" s="160"/>
      <c r="M9" s="160"/>
      <c r="N9" s="161"/>
    </row>
    <row r="10" spans="1:14" ht="17" thickBot="1" x14ac:dyDescent="0.25">
      <c r="A10" s="38">
        <v>344889</v>
      </c>
      <c r="B10" s="39">
        <v>192377</v>
      </c>
      <c r="C10" s="39">
        <v>110988</v>
      </c>
      <c r="D10" s="63">
        <v>110.7</v>
      </c>
      <c r="E10" s="65">
        <v>99392</v>
      </c>
      <c r="J10" s="55" t="s">
        <v>55</v>
      </c>
      <c r="K10" s="56">
        <f>_xlfn.F.INV.RT(0.05,H13,H14)</f>
        <v>2.4271155491611394</v>
      </c>
      <c r="L10" s="57" t="s">
        <v>57</v>
      </c>
      <c r="M10" s="58">
        <f>K13</f>
        <v>269.60051387272307</v>
      </c>
      <c r="N10" s="59" t="s">
        <v>56</v>
      </c>
    </row>
    <row r="11" spans="1:14" ht="17" thickBot="1" x14ac:dyDescent="0.25">
      <c r="A11" s="38">
        <v>308017</v>
      </c>
      <c r="B11" s="39">
        <v>137104</v>
      </c>
      <c r="C11" s="39">
        <v>110396</v>
      </c>
      <c r="D11" s="63">
        <v>102.4</v>
      </c>
      <c r="E11" s="65">
        <v>115192</v>
      </c>
      <c r="G11" t="s">
        <v>34</v>
      </c>
    </row>
    <row r="12" spans="1:14" x14ac:dyDescent="0.2">
      <c r="A12" s="38">
        <v>336226</v>
      </c>
      <c r="B12" s="39">
        <v>137874</v>
      </c>
      <c r="C12" s="39">
        <v>91037</v>
      </c>
      <c r="D12" s="63">
        <v>99.9</v>
      </c>
      <c r="E12" s="65">
        <v>99813</v>
      </c>
      <c r="G12" s="19"/>
      <c r="H12" s="19" t="s">
        <v>39</v>
      </c>
      <c r="I12" s="19" t="s">
        <v>40</v>
      </c>
      <c r="J12" s="19" t="s">
        <v>41</v>
      </c>
      <c r="K12" s="19" t="s">
        <v>42</v>
      </c>
      <c r="L12" s="19" t="s">
        <v>43</v>
      </c>
    </row>
    <row r="13" spans="1:14" x14ac:dyDescent="0.2">
      <c r="A13" s="38">
        <v>347671</v>
      </c>
      <c r="B13" s="39">
        <v>158034</v>
      </c>
      <c r="C13" s="39">
        <v>127609</v>
      </c>
      <c r="D13" s="63">
        <v>103.2</v>
      </c>
      <c r="E13" s="65">
        <v>95203</v>
      </c>
      <c r="G13" s="17" t="s">
        <v>35</v>
      </c>
      <c r="H13" s="17">
        <v>4</v>
      </c>
      <c r="I13" s="17">
        <v>678513443003.38403</v>
      </c>
      <c r="J13" s="17">
        <v>169628360750.84601</v>
      </c>
      <c r="K13" s="17">
        <v>269.60051387272307</v>
      </c>
      <c r="L13" s="17">
        <v>9.8978621769890299E-71</v>
      </c>
    </row>
    <row r="14" spans="1:14" x14ac:dyDescent="0.2">
      <c r="A14" s="38">
        <v>185894</v>
      </c>
      <c r="B14" s="39">
        <v>119974</v>
      </c>
      <c r="C14" s="39">
        <v>64531</v>
      </c>
      <c r="D14" s="63">
        <v>101.8</v>
      </c>
      <c r="E14" s="65">
        <v>69254</v>
      </c>
      <c r="G14" s="17" t="s">
        <v>36</v>
      </c>
      <c r="H14" s="17">
        <v>163</v>
      </c>
      <c r="I14" s="17">
        <v>102557010760.89581</v>
      </c>
      <c r="J14" s="17">
        <v>629184115.09752035</v>
      </c>
      <c r="K14" s="17"/>
      <c r="L14" s="17"/>
    </row>
    <row r="15" spans="1:14" ht="17" thickBot="1" x14ac:dyDescent="0.25">
      <c r="A15" s="38">
        <v>200502</v>
      </c>
      <c r="B15" s="39">
        <v>113680</v>
      </c>
      <c r="C15" s="39">
        <v>58025</v>
      </c>
      <c r="D15" s="63">
        <v>102.8</v>
      </c>
      <c r="E15" s="65">
        <v>71125</v>
      </c>
      <c r="G15" s="18" t="s">
        <v>37</v>
      </c>
      <c r="H15" s="18">
        <v>167</v>
      </c>
      <c r="I15" s="18">
        <v>781070453764.27979</v>
      </c>
      <c r="J15" s="18"/>
      <c r="K15" s="18"/>
      <c r="L15" s="18"/>
    </row>
    <row r="16" spans="1:14" ht="17" thickBot="1" x14ac:dyDescent="0.25">
      <c r="A16" s="38">
        <v>203717</v>
      </c>
      <c r="B16" s="39">
        <v>108532</v>
      </c>
      <c r="C16" s="39">
        <v>68453</v>
      </c>
      <c r="D16" s="63">
        <v>99.1</v>
      </c>
      <c r="E16" s="65">
        <v>67522</v>
      </c>
    </row>
    <row r="17" spans="1:25" x14ac:dyDescent="0.2">
      <c r="A17" s="38">
        <v>232325</v>
      </c>
      <c r="B17" s="39">
        <v>121353</v>
      </c>
      <c r="C17" s="39">
        <v>62429</v>
      </c>
      <c r="D17" s="63">
        <v>98.2</v>
      </c>
      <c r="E17" s="65">
        <v>73118</v>
      </c>
      <c r="G17" s="19"/>
      <c r="H17" s="19" t="s">
        <v>44</v>
      </c>
      <c r="I17" s="19" t="s">
        <v>32</v>
      </c>
      <c r="J17" s="19" t="s">
        <v>45</v>
      </c>
      <c r="K17" s="19" t="s">
        <v>46</v>
      </c>
      <c r="L17" s="19" t="s">
        <v>47</v>
      </c>
      <c r="M17" s="19" t="s">
        <v>48</v>
      </c>
      <c r="N17" s="19" t="s">
        <v>49</v>
      </c>
      <c r="O17" s="19" t="s">
        <v>50</v>
      </c>
    </row>
    <row r="18" spans="1:25" x14ac:dyDescent="0.2">
      <c r="A18" s="38">
        <v>226590</v>
      </c>
      <c r="B18" s="39">
        <v>114942</v>
      </c>
      <c r="C18" s="39">
        <v>70328</v>
      </c>
      <c r="D18" s="63">
        <v>104</v>
      </c>
      <c r="E18" s="65">
        <v>63967</v>
      </c>
      <c r="G18" s="17" t="s">
        <v>38</v>
      </c>
      <c r="H18" s="17">
        <v>-87898.950418109845</v>
      </c>
      <c r="I18" s="17">
        <v>66018.884469725352</v>
      </c>
      <c r="J18" s="17">
        <v>-1.3314213217040671</v>
      </c>
      <c r="K18" s="17">
        <v>0.18490944980367327</v>
      </c>
      <c r="L18" s="17">
        <v>-218261.46514076291</v>
      </c>
      <c r="M18" s="17">
        <v>42463.564304543223</v>
      </c>
      <c r="N18" s="17">
        <v>-218261.46514076291</v>
      </c>
      <c r="O18" s="17">
        <v>42463.564304543223</v>
      </c>
      <c r="Q18" s="99"/>
      <c r="R18" s="99"/>
    </row>
    <row r="19" spans="1:25" x14ac:dyDescent="0.2">
      <c r="A19" s="38">
        <v>265320</v>
      </c>
      <c r="B19" s="39">
        <v>150227</v>
      </c>
      <c r="C19" s="39">
        <v>93121</v>
      </c>
      <c r="D19" s="63">
        <v>102.4</v>
      </c>
      <c r="E19" s="65">
        <v>74011</v>
      </c>
      <c r="G19" s="17" t="s">
        <v>23</v>
      </c>
      <c r="H19" s="17">
        <v>1.256410873558335</v>
      </c>
      <c r="I19" s="17">
        <v>5.413600838675408E-2</v>
      </c>
      <c r="J19" s="17">
        <v>23.2084136049039</v>
      </c>
      <c r="K19" s="17">
        <v>1.5390339189563616E-53</v>
      </c>
      <c r="L19" s="17">
        <v>1.1495125785170093</v>
      </c>
      <c r="M19" s="17">
        <v>1.3633091685996608</v>
      </c>
      <c r="N19" s="17">
        <v>1.1495125785170093</v>
      </c>
      <c r="O19" s="17">
        <v>1.3633091685996608</v>
      </c>
      <c r="Q19" s="99"/>
      <c r="R19" s="98"/>
    </row>
    <row r="20" spans="1:25" x14ac:dyDescent="0.2">
      <c r="A20" s="38">
        <v>271705</v>
      </c>
      <c r="B20" s="39">
        <v>152834</v>
      </c>
      <c r="C20" s="39">
        <v>67880</v>
      </c>
      <c r="D20" s="63">
        <v>106.3</v>
      </c>
      <c r="E20" s="65">
        <v>75645</v>
      </c>
      <c r="G20" s="17" t="s">
        <v>24</v>
      </c>
      <c r="H20" s="17">
        <v>0.34507894485823837</v>
      </c>
      <c r="I20" s="17">
        <v>4.9301535586057758E-2</v>
      </c>
      <c r="J20" s="17">
        <v>6.9993549035788059</v>
      </c>
      <c r="K20" s="17">
        <v>6.3583784099007085E-11</v>
      </c>
      <c r="L20" s="17">
        <v>0.24772691883855974</v>
      </c>
      <c r="M20" s="17">
        <v>0.442430970877917</v>
      </c>
      <c r="N20" s="17">
        <v>0.24772691883855974</v>
      </c>
      <c r="O20" s="17">
        <v>0.442430970877917</v>
      </c>
      <c r="Q20" s="99"/>
      <c r="R20" s="98"/>
    </row>
    <row r="21" spans="1:25" ht="17" customHeight="1" x14ac:dyDescent="0.2">
      <c r="A21" s="38">
        <v>300139</v>
      </c>
      <c r="B21" s="39">
        <v>154299</v>
      </c>
      <c r="C21" s="39">
        <v>120034</v>
      </c>
      <c r="D21" s="63">
        <v>104.6</v>
      </c>
      <c r="E21" s="65">
        <v>81074</v>
      </c>
      <c r="G21" s="17" t="s">
        <v>25</v>
      </c>
      <c r="H21" s="17">
        <v>1509.3474762288936</v>
      </c>
      <c r="I21" s="17">
        <v>647.45999182854825</v>
      </c>
      <c r="J21" s="17">
        <v>2.331182614027183</v>
      </c>
      <c r="K21" s="17">
        <v>2.0967913394212268E-2</v>
      </c>
      <c r="L21" s="17">
        <v>230.85703527356645</v>
      </c>
      <c r="M21" s="17">
        <v>2787.8379171842207</v>
      </c>
      <c r="N21" s="17">
        <v>230.85703527356645</v>
      </c>
      <c r="O21" s="17">
        <v>2787.8379171842207</v>
      </c>
      <c r="Q21" s="99"/>
      <c r="R21" s="98"/>
    </row>
    <row r="22" spans="1:25" ht="17" thickBot="1" x14ac:dyDescent="0.25">
      <c r="A22" s="38">
        <v>345916</v>
      </c>
      <c r="B22" s="39">
        <v>196541</v>
      </c>
      <c r="C22" s="39">
        <v>136077</v>
      </c>
      <c r="D22" s="63">
        <v>102.1</v>
      </c>
      <c r="E22" s="65">
        <v>80687</v>
      </c>
      <c r="G22" s="18" t="s">
        <v>26</v>
      </c>
      <c r="H22" s="18">
        <v>0.10232604843266715</v>
      </c>
      <c r="I22" s="18">
        <v>3.9173118940145031E-2</v>
      </c>
      <c r="J22" s="18">
        <v>2.6121496373321023</v>
      </c>
      <c r="K22" s="18">
        <v>9.8381369401145148E-3</v>
      </c>
      <c r="L22" s="18">
        <v>2.4973843293413289E-2</v>
      </c>
      <c r="M22" s="18">
        <v>0.17967825357192102</v>
      </c>
      <c r="N22" s="18">
        <v>2.4973843293413289E-2</v>
      </c>
      <c r="O22" s="18">
        <v>0.17967825357192102</v>
      </c>
      <c r="Q22" s="99"/>
      <c r="R22" s="98"/>
    </row>
    <row r="23" spans="1:25" ht="17" customHeight="1" thickBot="1" x14ac:dyDescent="0.25">
      <c r="A23" s="38">
        <v>330615</v>
      </c>
      <c r="B23" s="39">
        <v>187838</v>
      </c>
      <c r="C23" s="39">
        <v>105521</v>
      </c>
      <c r="D23" s="63">
        <v>107.5</v>
      </c>
      <c r="E23" s="65">
        <v>67253</v>
      </c>
    </row>
    <row r="24" spans="1:25" ht="17" thickBot="1" x14ac:dyDescent="0.25">
      <c r="A24" s="38">
        <v>400393</v>
      </c>
      <c r="B24" s="39">
        <v>221856</v>
      </c>
      <c r="C24" s="39">
        <v>190033</v>
      </c>
      <c r="D24" s="63">
        <v>99.5</v>
      </c>
      <c r="E24" s="65">
        <v>83188</v>
      </c>
      <c r="K24" s="45"/>
      <c r="L24" s="162" t="s">
        <v>66</v>
      </c>
      <c r="M24" s="163"/>
      <c r="N24" s="163"/>
      <c r="O24" s="163"/>
      <c r="P24" s="164"/>
      <c r="R24" s="194" t="s">
        <v>100</v>
      </c>
      <c r="S24" s="195"/>
      <c r="T24" s="196" t="s">
        <v>109</v>
      </c>
      <c r="U24" s="197"/>
      <c r="V24" s="197"/>
      <c r="W24" s="198"/>
      <c r="X24" s="199" t="s">
        <v>110</v>
      </c>
      <c r="Y24" s="170"/>
    </row>
    <row r="25" spans="1:25" ht="17" thickBot="1" x14ac:dyDescent="0.25">
      <c r="A25" s="38">
        <v>372222</v>
      </c>
      <c r="B25" s="39">
        <v>186830</v>
      </c>
      <c r="C25" s="39">
        <v>117333</v>
      </c>
      <c r="D25" s="63">
        <v>96.9</v>
      </c>
      <c r="E25" s="65">
        <v>79746</v>
      </c>
      <c r="K25" s="60" t="s">
        <v>23</v>
      </c>
      <c r="L25" s="33" t="s">
        <v>58</v>
      </c>
      <c r="M25" s="34">
        <f>J19</f>
        <v>23.2084136049039</v>
      </c>
      <c r="N25" s="61" t="s">
        <v>60</v>
      </c>
      <c r="O25" s="35">
        <f>_xlfn.T.INV.2T(0.05,H15)</f>
        <v>1.9742709570280526</v>
      </c>
      <c r="P25" s="36" t="s">
        <v>59</v>
      </c>
      <c r="R25" s="45"/>
      <c r="S25" s="45"/>
      <c r="T25" s="45"/>
      <c r="U25" s="45"/>
      <c r="V25" s="45"/>
      <c r="W25" s="45"/>
      <c r="X25" s="200"/>
      <c r="Y25" s="172"/>
    </row>
    <row r="26" spans="1:25" ht="17" thickBot="1" x14ac:dyDescent="0.25">
      <c r="A26" s="38">
        <v>123659</v>
      </c>
      <c r="B26" s="39">
        <v>52098</v>
      </c>
      <c r="C26" s="39">
        <v>16384</v>
      </c>
      <c r="D26" s="63">
        <v>106.5</v>
      </c>
      <c r="E26" s="65">
        <v>24948</v>
      </c>
      <c r="G26" t="s">
        <v>51</v>
      </c>
      <c r="K26" s="60" t="s">
        <v>24</v>
      </c>
      <c r="L26" s="33" t="s">
        <v>58</v>
      </c>
      <c r="M26" s="37">
        <f>J20</f>
        <v>6.9993549035788059</v>
      </c>
      <c r="N26" s="62" t="s">
        <v>60</v>
      </c>
      <c r="O26" s="35">
        <f>_xlfn.T.INV.2T(0.05,H15)</f>
        <v>1.9742709570280526</v>
      </c>
      <c r="P26" s="36" t="s">
        <v>59</v>
      </c>
      <c r="R26" s="169" t="s">
        <v>111</v>
      </c>
      <c r="S26" s="184"/>
      <c r="T26" s="178" t="s">
        <v>112</v>
      </c>
      <c r="U26" s="179"/>
      <c r="V26" s="169" t="s">
        <v>113</v>
      </c>
      <c r="W26" s="170"/>
      <c r="X26" s="200"/>
      <c r="Y26" s="172"/>
    </row>
    <row r="27" spans="1:25" ht="17" thickBot="1" x14ac:dyDescent="0.25">
      <c r="A27" s="38">
        <v>113761</v>
      </c>
      <c r="B27" s="39">
        <v>55375</v>
      </c>
      <c r="C27" s="39">
        <v>14200</v>
      </c>
      <c r="D27" s="63">
        <v>101.9</v>
      </c>
      <c r="E27" s="65">
        <v>26850</v>
      </c>
      <c r="K27" s="60" t="s">
        <v>25</v>
      </c>
      <c r="L27" s="33" t="s">
        <v>58</v>
      </c>
      <c r="M27" s="37">
        <f>J21</f>
        <v>2.331182614027183</v>
      </c>
      <c r="N27" s="62" t="s">
        <v>60</v>
      </c>
      <c r="O27" s="35">
        <f>_xlfn.T.INV.2T(0.05,H15)</f>
        <v>1.9742709570280526</v>
      </c>
      <c r="P27" s="36" t="s">
        <v>59</v>
      </c>
      <c r="R27" s="171"/>
      <c r="S27" s="185"/>
      <c r="T27" s="180"/>
      <c r="U27" s="181"/>
      <c r="V27" s="171"/>
      <c r="W27" s="172"/>
      <c r="X27" s="200"/>
      <c r="Y27" s="172"/>
    </row>
    <row r="28" spans="1:25" ht="17" thickBot="1" x14ac:dyDescent="0.25">
      <c r="A28" s="38">
        <v>154926</v>
      </c>
      <c r="B28" s="39">
        <v>65737</v>
      </c>
      <c r="C28" s="39">
        <v>19886</v>
      </c>
      <c r="D28" s="63">
        <v>95.6</v>
      </c>
      <c r="E28" s="65">
        <v>26738</v>
      </c>
      <c r="G28" s="19" t="s">
        <v>52</v>
      </c>
      <c r="H28" s="19" t="s">
        <v>53</v>
      </c>
      <c r="I28" s="19" t="s">
        <v>54</v>
      </c>
      <c r="J28" s="74" t="s">
        <v>64</v>
      </c>
      <c r="K28" s="60" t="s">
        <v>26</v>
      </c>
      <c r="L28" s="33" t="s">
        <v>58</v>
      </c>
      <c r="M28" s="37">
        <f>J22</f>
        <v>2.6121496373321023</v>
      </c>
      <c r="N28" s="62" t="s">
        <v>60</v>
      </c>
      <c r="O28" s="35">
        <f>_xlfn.T.INV.2T(0.05,H15)</f>
        <v>1.9742709570280526</v>
      </c>
      <c r="P28" s="36" t="s">
        <v>59</v>
      </c>
      <c r="R28" s="171"/>
      <c r="S28" s="185"/>
      <c r="T28" s="180"/>
      <c r="U28" s="181"/>
      <c r="V28" s="171"/>
      <c r="W28" s="172"/>
      <c r="X28" s="200"/>
      <c r="Y28" s="172"/>
    </row>
    <row r="29" spans="1:25" x14ac:dyDescent="0.2">
      <c r="A29" s="38">
        <v>161262</v>
      </c>
      <c r="B29" s="39">
        <v>86686</v>
      </c>
      <c r="C29" s="39">
        <v>16536</v>
      </c>
      <c r="D29" s="63">
        <v>100.1</v>
      </c>
      <c r="E29" s="65">
        <v>27370</v>
      </c>
      <c r="G29" s="17">
        <v>1</v>
      </c>
      <c r="H29" s="17">
        <v>178426.37436766591</v>
      </c>
      <c r="I29" s="17">
        <v>-15287.374367665907</v>
      </c>
      <c r="J29">
        <f>ABS((A2-H29)/A2)*100</f>
        <v>9.370766259242675</v>
      </c>
      <c r="R29" s="171"/>
      <c r="S29" s="185"/>
      <c r="T29" s="180"/>
      <c r="U29" s="181"/>
      <c r="V29" s="171"/>
      <c r="W29" s="172"/>
      <c r="X29" s="200"/>
      <c r="Y29" s="172"/>
    </row>
    <row r="30" spans="1:25" ht="17" thickBot="1" x14ac:dyDescent="0.25">
      <c r="A30" s="38">
        <v>174894</v>
      </c>
      <c r="B30" s="39">
        <v>72903</v>
      </c>
      <c r="C30" s="39">
        <v>22776</v>
      </c>
      <c r="D30" s="63">
        <v>106.1</v>
      </c>
      <c r="E30" s="65">
        <v>24990</v>
      </c>
      <c r="G30" s="17">
        <v>2</v>
      </c>
      <c r="H30" s="17">
        <v>187990.51912524679</v>
      </c>
      <c r="I30" s="17">
        <v>-5326.5191252467921</v>
      </c>
      <c r="J30">
        <f t="shared" ref="J30:J93" si="0">ABS((A3-H30)/A3)*100</f>
        <v>2.9160201929481411</v>
      </c>
      <c r="R30" s="171"/>
      <c r="S30" s="185"/>
      <c r="T30" s="180"/>
      <c r="U30" s="181"/>
      <c r="V30" s="171"/>
      <c r="W30" s="172"/>
      <c r="X30" s="201"/>
      <c r="Y30" s="174"/>
    </row>
    <row r="31" spans="1:25" x14ac:dyDescent="0.2">
      <c r="A31" s="38">
        <v>183623</v>
      </c>
      <c r="B31" s="39">
        <v>79308</v>
      </c>
      <c r="C31" s="39">
        <v>21066</v>
      </c>
      <c r="D31" s="63">
        <v>97.9</v>
      </c>
      <c r="E31" s="65">
        <v>26581</v>
      </c>
      <c r="G31" s="17">
        <v>3</v>
      </c>
      <c r="H31" s="17">
        <v>195925.80523198366</v>
      </c>
      <c r="I31" s="17">
        <v>-3664.805231983657</v>
      </c>
      <c r="J31">
        <f t="shared" si="0"/>
        <v>1.9061615366526008</v>
      </c>
      <c r="R31" s="188" t="s">
        <v>114</v>
      </c>
      <c r="S31" s="189"/>
      <c r="T31" s="189"/>
      <c r="U31" s="189"/>
      <c r="V31" s="189"/>
      <c r="W31" s="190"/>
    </row>
    <row r="32" spans="1:25" ht="17" thickBot="1" x14ac:dyDescent="0.25">
      <c r="A32" s="38">
        <v>213288</v>
      </c>
      <c r="B32" s="39">
        <v>113814</v>
      </c>
      <c r="C32" s="39">
        <v>21783</v>
      </c>
      <c r="D32" s="63">
        <v>104.1</v>
      </c>
      <c r="E32" s="65">
        <v>28251</v>
      </c>
      <c r="G32" s="17">
        <v>4</v>
      </c>
      <c r="H32" s="17">
        <v>206372.51693362938</v>
      </c>
      <c r="I32" s="17">
        <v>-7978.5169336293766</v>
      </c>
      <c r="J32">
        <f t="shared" si="0"/>
        <v>4.0215515255649752</v>
      </c>
      <c r="R32" s="191"/>
      <c r="S32" s="192"/>
      <c r="T32" s="192"/>
      <c r="U32" s="192"/>
      <c r="V32" s="192"/>
      <c r="W32" s="193"/>
    </row>
    <row r="33" spans="1:10" x14ac:dyDescent="0.2">
      <c r="A33" s="38">
        <v>206164</v>
      </c>
      <c r="B33" s="39">
        <v>117073</v>
      </c>
      <c r="C33" s="39">
        <v>29029</v>
      </c>
      <c r="D33" s="63">
        <v>99</v>
      </c>
      <c r="E33" s="65">
        <v>27319</v>
      </c>
      <c r="G33" s="17">
        <v>5</v>
      </c>
      <c r="H33" s="17">
        <v>246633.43882528727</v>
      </c>
      <c r="I33" s="17">
        <v>-15796.438825287274</v>
      </c>
      <c r="J33">
        <f t="shared" si="0"/>
        <v>6.8431138965102098</v>
      </c>
    </row>
    <row r="34" spans="1:10" x14ac:dyDescent="0.2">
      <c r="A34" s="38">
        <v>233620</v>
      </c>
      <c r="B34" s="39">
        <v>127428</v>
      </c>
      <c r="C34" s="39">
        <v>22722</v>
      </c>
      <c r="D34" s="63">
        <v>103.2</v>
      </c>
      <c r="E34" s="65">
        <v>24739</v>
      </c>
      <c r="G34" s="17">
        <v>6</v>
      </c>
      <c r="H34" s="17">
        <v>225561.30914185799</v>
      </c>
      <c r="I34" s="17">
        <v>11532.690858142014</v>
      </c>
      <c r="J34">
        <f t="shared" si="0"/>
        <v>4.8641850313133252</v>
      </c>
    </row>
    <row r="35" spans="1:10" x14ac:dyDescent="0.2">
      <c r="A35" s="38">
        <v>245279</v>
      </c>
      <c r="B35" s="39">
        <v>125317</v>
      </c>
      <c r="C35" s="39">
        <v>33385</v>
      </c>
      <c r="D35" s="63">
        <v>102.9</v>
      </c>
      <c r="E35" s="65">
        <v>27770</v>
      </c>
      <c r="G35" s="17">
        <v>7</v>
      </c>
      <c r="H35" s="17">
        <v>241791.82390520393</v>
      </c>
      <c r="I35" s="17">
        <v>1306.176094796072</v>
      </c>
      <c r="J35">
        <f t="shared" si="0"/>
        <v>0.5373043360274754</v>
      </c>
    </row>
    <row r="36" spans="1:10" x14ac:dyDescent="0.2">
      <c r="A36" s="38">
        <v>269762</v>
      </c>
      <c r="B36" s="39">
        <v>139440</v>
      </c>
      <c r="C36" s="39">
        <v>38462</v>
      </c>
      <c r="D36" s="63">
        <v>104.9</v>
      </c>
      <c r="E36" s="65">
        <v>29276</v>
      </c>
      <c r="G36" s="17">
        <v>8</v>
      </c>
      <c r="H36" s="17">
        <v>253676.25874226016</v>
      </c>
      <c r="I36" s="17">
        <v>10176.741257739835</v>
      </c>
      <c r="J36">
        <f t="shared" si="0"/>
        <v>3.8569738671683984</v>
      </c>
    </row>
    <row r="37" spans="1:10" x14ac:dyDescent="0.2">
      <c r="A37" s="38">
        <v>278556</v>
      </c>
      <c r="B37" s="39">
        <v>136570</v>
      </c>
      <c r="C37" s="39">
        <v>30983</v>
      </c>
      <c r="D37" s="63">
        <v>103.5</v>
      </c>
      <c r="E37" s="65">
        <v>28423</v>
      </c>
      <c r="G37" s="17">
        <v>9</v>
      </c>
      <c r="H37" s="17">
        <v>369360.38236070634</v>
      </c>
      <c r="I37" s="17">
        <v>-24471.382360706339</v>
      </c>
      <c r="J37">
        <f t="shared" si="0"/>
        <v>7.0954371872417905</v>
      </c>
    </row>
    <row r="38" spans="1:10" x14ac:dyDescent="0.2">
      <c r="A38" s="38">
        <v>142355</v>
      </c>
      <c r="B38" s="39">
        <v>63811</v>
      </c>
      <c r="C38" s="39">
        <v>23574</v>
      </c>
      <c r="D38" s="63">
        <v>100.9</v>
      </c>
      <c r="E38" s="65">
        <v>80817</v>
      </c>
      <c r="G38" s="17">
        <v>10</v>
      </c>
      <c r="H38" s="17">
        <v>288799.66492369672</v>
      </c>
      <c r="I38" s="17">
        <v>19217.335076303279</v>
      </c>
      <c r="J38">
        <f t="shared" si="0"/>
        <v>6.2390501421360769</v>
      </c>
    </row>
    <row r="39" spans="1:10" x14ac:dyDescent="0.2">
      <c r="A39" s="38">
        <v>154696</v>
      </c>
      <c r="B39" s="39">
        <v>70223</v>
      </c>
      <c r="C39" s="39">
        <v>29613</v>
      </c>
      <c r="D39" s="63">
        <v>101.1</v>
      </c>
      <c r="E39" s="65">
        <v>86549</v>
      </c>
      <c r="G39" s="17">
        <v>11</v>
      </c>
      <c r="H39" s="17">
        <v>277739.67701340781</v>
      </c>
      <c r="I39" s="17">
        <v>58486.322986592189</v>
      </c>
      <c r="J39">
        <f t="shared" si="0"/>
        <v>17.394943575628353</v>
      </c>
    </row>
    <row r="40" spans="1:10" x14ac:dyDescent="0.2">
      <c r="A40" s="38">
        <v>186505</v>
      </c>
      <c r="B40" s="39">
        <v>70333</v>
      </c>
      <c r="C40" s="39">
        <v>42927</v>
      </c>
      <c r="D40" s="63">
        <v>101</v>
      </c>
      <c r="E40" s="65">
        <v>102608</v>
      </c>
      <c r="G40" s="17">
        <v>12</v>
      </c>
      <c r="H40" s="17">
        <v>320198.27098398004</v>
      </c>
      <c r="I40" s="17">
        <v>27472.729016019963</v>
      </c>
      <c r="J40">
        <f t="shared" si="0"/>
        <v>7.9019328664225545</v>
      </c>
    </row>
    <row r="41" spans="1:10" x14ac:dyDescent="0.2">
      <c r="A41" s="38">
        <v>223835</v>
      </c>
      <c r="B41" s="39">
        <v>119621</v>
      </c>
      <c r="C41" s="39">
        <v>40576</v>
      </c>
      <c r="D41" s="63">
        <v>99.3</v>
      </c>
      <c r="E41" s="65">
        <v>96401</v>
      </c>
      <c r="G41" s="17">
        <v>13</v>
      </c>
      <c r="H41" s="17">
        <v>245844.03835508213</v>
      </c>
      <c r="I41" s="17">
        <v>-59950.038355082128</v>
      </c>
      <c r="J41">
        <f t="shared" si="0"/>
        <v>32.249582210874003</v>
      </c>
    </row>
    <row r="42" spans="1:10" x14ac:dyDescent="0.2">
      <c r="A42" s="38">
        <v>234479</v>
      </c>
      <c r="B42" s="39">
        <v>138396</v>
      </c>
      <c r="C42" s="39">
        <v>32570</v>
      </c>
      <c r="D42" s="63">
        <v>105</v>
      </c>
      <c r="E42" s="65">
        <v>87206</v>
      </c>
      <c r="G42" s="17">
        <v>14</v>
      </c>
      <c r="H42" s="17">
        <v>237391.90421450467</v>
      </c>
      <c r="I42" s="17">
        <v>-36889.90421450467</v>
      </c>
      <c r="J42">
        <f t="shared" si="0"/>
        <v>18.398771191561515</v>
      </c>
    </row>
    <row r="43" spans="1:10" x14ac:dyDescent="0.2">
      <c r="A43" s="38">
        <v>217047</v>
      </c>
      <c r="B43" s="39">
        <v>104147</v>
      </c>
      <c r="C43" s="39">
        <v>44798</v>
      </c>
      <c r="D43" s="63">
        <v>99</v>
      </c>
      <c r="E43" s="65">
        <v>101859</v>
      </c>
      <c r="G43" s="17">
        <v>15</v>
      </c>
      <c r="H43" s="17">
        <v>228569.11785985826</v>
      </c>
      <c r="I43" s="17">
        <v>-24852.117859858263</v>
      </c>
      <c r="J43">
        <f t="shared" si="0"/>
        <v>12.199334301927802</v>
      </c>
    </row>
    <row r="44" spans="1:10" x14ac:dyDescent="0.2">
      <c r="A44" s="38">
        <v>256363</v>
      </c>
      <c r="B44" s="39">
        <v>109978</v>
      </c>
      <c r="C44" s="39">
        <v>38093</v>
      </c>
      <c r="D44" s="63">
        <v>102.5</v>
      </c>
      <c r="E44" s="65">
        <v>102275</v>
      </c>
      <c r="G44" s="17">
        <v>16</v>
      </c>
      <c r="H44" s="17">
        <v>241813.00994434688</v>
      </c>
      <c r="I44" s="17">
        <v>-9488.0099443468789</v>
      </c>
      <c r="J44">
        <f t="shared" si="0"/>
        <v>4.083938424339558</v>
      </c>
    </row>
    <row r="45" spans="1:10" x14ac:dyDescent="0.2">
      <c r="A45" s="38">
        <v>256302</v>
      </c>
      <c r="B45" s="39">
        <v>138871</v>
      </c>
      <c r="C45" s="39">
        <v>37533</v>
      </c>
      <c r="D45" s="63">
        <v>95.7</v>
      </c>
      <c r="E45" s="65">
        <v>85835</v>
      </c>
      <c r="G45" s="17">
        <v>17</v>
      </c>
      <c r="H45" s="17">
        <v>244301.76811231984</v>
      </c>
      <c r="I45" s="17">
        <v>-17711.768112319842</v>
      </c>
      <c r="J45">
        <f t="shared" si="0"/>
        <v>7.8166592136986814</v>
      </c>
    </row>
    <row r="46" spans="1:10" x14ac:dyDescent="0.2">
      <c r="A46" s="38">
        <v>271987</v>
      </c>
      <c r="B46" s="39">
        <v>135912</v>
      </c>
      <c r="C46" s="39">
        <v>44092</v>
      </c>
      <c r="D46" s="63">
        <v>100.7</v>
      </c>
      <c r="E46" s="65">
        <v>99766</v>
      </c>
      <c r="G46" s="17">
        <v>18</v>
      </c>
      <c r="H46" s="17">
        <v>295112.41704447102</v>
      </c>
      <c r="I46" s="17">
        <v>-29792.417044471018</v>
      </c>
      <c r="J46">
        <f t="shared" si="0"/>
        <v>11.228862145511464</v>
      </c>
    </row>
    <row r="47" spans="1:10" x14ac:dyDescent="0.2">
      <c r="A47" s="38">
        <v>302538</v>
      </c>
      <c r="B47" s="39">
        <v>160657</v>
      </c>
      <c r="C47" s="39">
        <v>63175</v>
      </c>
      <c r="D47" s="63">
        <v>106.5</v>
      </c>
      <c r="E47" s="65">
        <v>98763</v>
      </c>
      <c r="G47" s="17">
        <v>19</v>
      </c>
      <c r="H47" s="17">
        <v>295731.39846510242</v>
      </c>
      <c r="I47" s="17">
        <v>-24026.398465102422</v>
      </c>
      <c r="J47">
        <f t="shared" si="0"/>
        <v>8.8428252940146201</v>
      </c>
    </row>
    <row r="48" spans="1:10" x14ac:dyDescent="0.2">
      <c r="A48" s="38">
        <v>322686</v>
      </c>
      <c r="B48" s="39">
        <v>152937</v>
      </c>
      <c r="C48" s="39">
        <v>76327</v>
      </c>
      <c r="D48" s="63">
        <v>105</v>
      </c>
      <c r="E48" s="65">
        <v>111782</v>
      </c>
      <c r="G48" s="17">
        <v>20</v>
      </c>
      <c r="H48" s="17">
        <v>313558.92509235372</v>
      </c>
      <c r="I48" s="17">
        <v>-13419.925092353718</v>
      </c>
      <c r="J48">
        <f t="shared" si="0"/>
        <v>4.4712366911176877</v>
      </c>
    </row>
    <row r="49" spans="1:10" x14ac:dyDescent="0.2">
      <c r="A49" s="38">
        <v>343335</v>
      </c>
      <c r="B49" s="39">
        <v>177961</v>
      </c>
      <c r="C49" s="39">
        <v>80694</v>
      </c>
      <c r="D49" s="63">
        <v>98.8</v>
      </c>
      <c r="E49" s="65">
        <v>103116</v>
      </c>
      <c r="G49" s="17">
        <v>21</v>
      </c>
      <c r="H49" s="17">
        <v>368355.36585424998</v>
      </c>
      <c r="I49" s="17">
        <v>-22439.365854249976</v>
      </c>
      <c r="J49">
        <f t="shared" si="0"/>
        <v>6.4869407180500396</v>
      </c>
    </row>
    <row r="50" spans="1:10" x14ac:dyDescent="0.2">
      <c r="A50" s="38">
        <v>144914</v>
      </c>
      <c r="B50" s="39">
        <v>63378</v>
      </c>
      <c r="C50" s="39">
        <v>33427</v>
      </c>
      <c r="D50" s="63">
        <v>100.8</v>
      </c>
      <c r="E50" s="65">
        <v>46594</v>
      </c>
      <c r="G50" s="17">
        <v>22</v>
      </c>
      <c r="H50" s="17">
        <v>353652.41801957507</v>
      </c>
      <c r="I50" s="17">
        <v>-23037.418019575067</v>
      </c>
      <c r="J50">
        <f t="shared" si="0"/>
        <v>6.9680498524189973</v>
      </c>
    </row>
    <row r="51" spans="1:10" x14ac:dyDescent="0.2">
      <c r="A51" s="38">
        <v>171308</v>
      </c>
      <c r="B51" s="39">
        <v>73180</v>
      </c>
      <c r="C51" s="39">
        <v>67522</v>
      </c>
      <c r="D51" s="63">
        <v>102.2</v>
      </c>
      <c r="E51" s="65">
        <v>48177</v>
      </c>
      <c r="G51" s="17">
        <v>23</v>
      </c>
      <c r="H51" s="17">
        <v>415112.10067608533</v>
      </c>
      <c r="I51" s="17">
        <v>-14719.100676085334</v>
      </c>
      <c r="J51">
        <f t="shared" si="0"/>
        <v>3.6761633385412171</v>
      </c>
    </row>
    <row r="52" spans="1:10" x14ac:dyDescent="0.2">
      <c r="A52" s="38">
        <v>184799</v>
      </c>
      <c r="B52" s="39">
        <v>70482</v>
      </c>
      <c r="C52" s="39">
        <v>58949</v>
      </c>
      <c r="D52" s="63">
        <v>98.8</v>
      </c>
      <c r="E52" s="65">
        <v>46288</v>
      </c>
      <c r="G52" s="17">
        <v>24</v>
      </c>
      <c r="H52" s="17">
        <v>341741.30443073681</v>
      </c>
      <c r="I52" s="17">
        <v>30480.695569263189</v>
      </c>
      <c r="J52">
        <f t="shared" si="0"/>
        <v>8.188848474636961</v>
      </c>
    </row>
    <row r="53" spans="1:10" x14ac:dyDescent="0.2">
      <c r="A53" s="38">
        <v>185538</v>
      </c>
      <c r="B53" s="39">
        <v>74813</v>
      </c>
      <c r="C53" s="39">
        <v>41794</v>
      </c>
      <c r="D53" s="63">
        <v>97.9</v>
      </c>
      <c r="E53" s="65">
        <v>45733</v>
      </c>
      <c r="G53" s="17">
        <v>25</v>
      </c>
      <c r="H53" s="17">
        <v>146509.65317976504</v>
      </c>
      <c r="I53" s="17">
        <v>-22850.653179765039</v>
      </c>
      <c r="J53">
        <f t="shared" si="0"/>
        <v>18.478762710166698</v>
      </c>
    </row>
    <row r="54" spans="1:10" x14ac:dyDescent="0.2">
      <c r="A54" s="38">
        <v>195620</v>
      </c>
      <c r="B54" s="39">
        <v>72402</v>
      </c>
      <c r="C54" s="39">
        <v>47759</v>
      </c>
      <c r="D54" s="63">
        <v>102.3</v>
      </c>
      <c r="E54" s="65">
        <v>44252</v>
      </c>
      <c r="G54" s="17">
        <v>26</v>
      </c>
      <c r="H54" s="17">
        <v>143124.8849503113</v>
      </c>
      <c r="I54" s="17">
        <v>-29363.884950311302</v>
      </c>
      <c r="J54">
        <f t="shared" si="0"/>
        <v>25.811908255299532</v>
      </c>
    </row>
    <row r="55" spans="1:10" x14ac:dyDescent="0.2">
      <c r="A55" s="38">
        <v>217669</v>
      </c>
      <c r="B55" s="39">
        <v>101090</v>
      </c>
      <c r="C55" s="39">
        <v>56965</v>
      </c>
      <c r="D55" s="63">
        <v>100.9</v>
      </c>
      <c r="E55" s="65">
        <v>48678</v>
      </c>
      <c r="G55" s="17">
        <v>27</v>
      </c>
      <c r="H55" s="17">
        <v>148585.58368492022</v>
      </c>
      <c r="I55" s="17">
        <v>6340.4163150797831</v>
      </c>
      <c r="J55">
        <f t="shared" si="0"/>
        <v>4.0925450312276723</v>
      </c>
    </row>
    <row r="56" spans="1:10" x14ac:dyDescent="0.2">
      <c r="A56" s="38">
        <v>246482</v>
      </c>
      <c r="B56" s="39">
        <v>92636</v>
      </c>
      <c r="C56" s="39">
        <v>61449</v>
      </c>
      <c r="D56" s="63">
        <v>101.9</v>
      </c>
      <c r="E56" s="65">
        <v>46385</v>
      </c>
      <c r="G56" s="17">
        <v>28</v>
      </c>
      <c r="H56" s="17">
        <v>180606.85431545819</v>
      </c>
      <c r="I56" s="17">
        <v>-19344.854315458186</v>
      </c>
      <c r="J56">
        <f t="shared" si="0"/>
        <v>11.995916158461501</v>
      </c>
    </row>
    <row r="57" spans="1:10" x14ac:dyDescent="0.2">
      <c r="A57" s="38">
        <v>240849</v>
      </c>
      <c r="B57" s="39">
        <v>97965</v>
      </c>
      <c r="C57" s="39">
        <v>57358</v>
      </c>
      <c r="D57" s="63">
        <v>100.7</v>
      </c>
      <c r="E57" s="65">
        <v>44696</v>
      </c>
      <c r="G57" s="17">
        <v>29</v>
      </c>
      <c r="H57" s="17">
        <v>174255.58472322265</v>
      </c>
      <c r="I57" s="17">
        <v>638.41527677734848</v>
      </c>
      <c r="J57">
        <f t="shared" si="0"/>
        <v>0.36502983337184153</v>
      </c>
    </row>
    <row r="58" spans="1:10" x14ac:dyDescent="0.2">
      <c r="A58" s="38">
        <v>278480</v>
      </c>
      <c r="B58" s="39">
        <v>125383</v>
      </c>
      <c r="C58" s="39">
        <v>46793</v>
      </c>
      <c r="D58" s="63">
        <v>101</v>
      </c>
      <c r="E58" s="65">
        <v>47969</v>
      </c>
      <c r="G58" s="17">
        <v>30</v>
      </c>
      <c r="H58" s="17">
        <v>169498.96281063565</v>
      </c>
      <c r="I58" s="17">
        <v>14124.037189364346</v>
      </c>
      <c r="J58">
        <f t="shared" si="0"/>
        <v>7.6918671350344709</v>
      </c>
    </row>
    <row r="59" spans="1:10" x14ac:dyDescent="0.2">
      <c r="A59" s="38">
        <v>300929</v>
      </c>
      <c r="B59" s="39">
        <v>131954</v>
      </c>
      <c r="C59" s="39">
        <v>77867</v>
      </c>
      <c r="D59" s="63">
        <v>103.6</v>
      </c>
      <c r="E59" s="65">
        <v>52851</v>
      </c>
      <c r="G59" s="17">
        <v>31</v>
      </c>
      <c r="H59" s="17">
        <v>222628.93687060461</v>
      </c>
      <c r="I59" s="17">
        <v>-9340.936870604608</v>
      </c>
      <c r="J59">
        <f t="shared" si="0"/>
        <v>4.3794948007410675</v>
      </c>
    </row>
    <row r="60" spans="1:10" x14ac:dyDescent="0.2">
      <c r="A60" s="38">
        <v>315360</v>
      </c>
      <c r="B60" s="39">
        <v>97451</v>
      </c>
      <c r="C60" s="39">
        <v>109178</v>
      </c>
      <c r="D60" s="63">
        <v>105.2</v>
      </c>
      <c r="E60" s="65">
        <v>56746</v>
      </c>
      <c r="G60" s="17">
        <v>32</v>
      </c>
      <c r="H60" s="17">
        <v>221430.98193606737</v>
      </c>
      <c r="I60" s="17">
        <v>-15266.981936067372</v>
      </c>
      <c r="J60">
        <f t="shared" si="0"/>
        <v>7.4052608292754174</v>
      </c>
    </row>
    <row r="61" spans="1:10" x14ac:dyDescent="0.2">
      <c r="A61" s="38">
        <v>351614</v>
      </c>
      <c r="B61" s="39">
        <v>165659</v>
      </c>
      <c r="C61" s="39">
        <v>99001</v>
      </c>
      <c r="D61" s="63">
        <v>107.3</v>
      </c>
      <c r="E61" s="65">
        <v>51800</v>
      </c>
      <c r="G61" s="17">
        <v>33</v>
      </c>
      <c r="H61" s="17">
        <v>238339.96182174812</v>
      </c>
      <c r="I61" s="17">
        <v>-4719.9618217481184</v>
      </c>
      <c r="J61">
        <f t="shared" si="0"/>
        <v>2.0203586258659865</v>
      </c>
    </row>
    <row r="62" spans="1:10" x14ac:dyDescent="0.2">
      <c r="A62" s="38">
        <v>152011</v>
      </c>
      <c r="B62" s="39">
        <v>83495</v>
      </c>
      <c r="C62" s="39">
        <v>40446</v>
      </c>
      <c r="D62" s="63">
        <v>101</v>
      </c>
      <c r="E62" s="65">
        <v>42994</v>
      </c>
      <c r="G62" s="17">
        <v>34</v>
      </c>
      <c r="H62" s="17">
        <v>239224.60126662062</v>
      </c>
      <c r="I62" s="17">
        <v>6054.3987333793775</v>
      </c>
      <c r="J62">
        <f t="shared" si="0"/>
        <v>2.4683722346305137</v>
      </c>
    </row>
    <row r="63" spans="1:10" x14ac:dyDescent="0.2">
      <c r="A63" s="38">
        <v>151229</v>
      </c>
      <c r="B63" s="39">
        <v>62852</v>
      </c>
      <c r="C63" s="39">
        <v>37155</v>
      </c>
      <c r="D63" s="63">
        <v>103.8</v>
      </c>
      <c r="E63" s="65">
        <v>38173</v>
      </c>
      <c r="G63" s="17">
        <v>35</v>
      </c>
      <c r="H63" s="17">
        <v>261893.65581832765</v>
      </c>
      <c r="I63" s="17">
        <v>7868.3441816723498</v>
      </c>
      <c r="J63">
        <f t="shared" si="0"/>
        <v>2.9167726298264212</v>
      </c>
    </row>
    <row r="64" spans="1:10" x14ac:dyDescent="0.2">
      <c r="A64" s="38">
        <v>180179</v>
      </c>
      <c r="B64" s="39">
        <v>72703</v>
      </c>
      <c r="C64" s="39">
        <v>45781</v>
      </c>
      <c r="D64" s="63">
        <v>106.3</v>
      </c>
      <c r="E64" s="65">
        <v>40321</v>
      </c>
      <c r="G64" s="17">
        <v>36</v>
      </c>
      <c r="H64" s="17">
        <v>253506.54059658694</v>
      </c>
      <c r="I64" s="17">
        <v>25049.459403413057</v>
      </c>
      <c r="J64">
        <f t="shared" si="0"/>
        <v>8.9926116843338697</v>
      </c>
    </row>
    <row r="65" spans="1:10" x14ac:dyDescent="0.2">
      <c r="A65" s="38">
        <v>185509</v>
      </c>
      <c r="B65" s="39">
        <v>85443</v>
      </c>
      <c r="C65" s="39">
        <v>42122</v>
      </c>
      <c r="D65" s="63">
        <v>104.8</v>
      </c>
      <c r="E65" s="65">
        <v>35394</v>
      </c>
      <c r="G65" s="17">
        <v>37</v>
      </c>
      <c r="H65" s="17">
        <v>160971.61948828743</v>
      </c>
      <c r="I65" s="17">
        <v>-18616.619488287426</v>
      </c>
      <c r="J65">
        <f t="shared" si="0"/>
        <v>13.077601410760021</v>
      </c>
    </row>
    <row r="66" spans="1:10" x14ac:dyDescent="0.2">
      <c r="A66" s="38">
        <v>204249</v>
      </c>
      <c r="B66" s="39">
        <v>88286</v>
      </c>
      <c r="C66" s="39">
        <v>51740</v>
      </c>
      <c r="D66" s="63">
        <v>103.2</v>
      </c>
      <c r="E66" s="65">
        <v>43592</v>
      </c>
      <c r="G66" s="17">
        <v>38</v>
      </c>
      <c r="H66" s="17">
        <v>172000.06016240417</v>
      </c>
      <c r="I66" s="17">
        <v>-17304.060162404174</v>
      </c>
      <c r="J66">
        <f t="shared" si="0"/>
        <v>11.185848478567108</v>
      </c>
    </row>
    <row r="67" spans="1:10" x14ac:dyDescent="0.2">
      <c r="A67" s="38">
        <v>226004</v>
      </c>
      <c r="B67" s="39">
        <v>114134</v>
      </c>
      <c r="C67" s="39">
        <v>73622</v>
      </c>
      <c r="D67" s="63">
        <v>96.9</v>
      </c>
      <c r="E67" s="65">
        <v>44244</v>
      </c>
      <c r="G67" s="17">
        <v>39</v>
      </c>
      <c r="H67" s="17">
        <v>178224.96569449548</v>
      </c>
      <c r="I67" s="17">
        <v>8280.0343055045232</v>
      </c>
      <c r="J67">
        <f t="shared" si="0"/>
        <v>4.4395776550250785</v>
      </c>
    </row>
    <row r="68" spans="1:10" x14ac:dyDescent="0.2">
      <c r="A68" s="38">
        <v>213034</v>
      </c>
      <c r="B68" s="39">
        <v>98764</v>
      </c>
      <c r="C68" s="39">
        <v>54394</v>
      </c>
      <c r="D68" s="63">
        <v>101.3</v>
      </c>
      <c r="E68" s="65">
        <v>38524</v>
      </c>
      <c r="G68" s="17">
        <v>40</v>
      </c>
      <c r="H68" s="17">
        <v>236138.63573886629</v>
      </c>
      <c r="I68" s="17">
        <v>-12303.635738866287</v>
      </c>
      <c r="J68">
        <f t="shared" si="0"/>
        <v>5.4967434667796757</v>
      </c>
    </row>
    <row r="69" spans="1:10" x14ac:dyDescent="0.2">
      <c r="A69" s="38">
        <v>264981</v>
      </c>
      <c r="B69" s="39">
        <v>113353</v>
      </c>
      <c r="C69" s="39">
        <v>72798</v>
      </c>
      <c r="D69" s="63">
        <v>101.2</v>
      </c>
      <c r="E69" s="65">
        <v>44818</v>
      </c>
      <c r="G69" s="17">
        <v>41</v>
      </c>
      <c r="H69" s="17">
        <v>264627.44045655534</v>
      </c>
      <c r="I69" s="17">
        <v>-30148.440456555341</v>
      </c>
      <c r="J69">
        <f t="shared" si="0"/>
        <v>12.857629236117237</v>
      </c>
    </row>
    <row r="70" spans="1:10" x14ac:dyDescent="0.2">
      <c r="A70" s="38">
        <v>256137</v>
      </c>
      <c r="B70" s="39">
        <v>108532</v>
      </c>
      <c r="C70" s="39">
        <v>73286</v>
      </c>
      <c r="D70" s="63">
        <v>100</v>
      </c>
      <c r="E70" s="65">
        <v>50510</v>
      </c>
      <c r="G70" s="17">
        <v>42</v>
      </c>
      <c r="H70" s="17">
        <v>218259.54851609294</v>
      </c>
      <c r="I70" s="17">
        <v>-1212.5485160929384</v>
      </c>
      <c r="J70">
        <f t="shared" si="0"/>
        <v>0.55865711854710653</v>
      </c>
    </row>
    <row r="71" spans="1:10" x14ac:dyDescent="0.2">
      <c r="A71" s="38">
        <v>311862</v>
      </c>
      <c r="B71" s="39">
        <v>157646</v>
      </c>
      <c r="C71" s="39">
        <v>90050</v>
      </c>
      <c r="D71" s="63">
        <v>101.3</v>
      </c>
      <c r="E71" s="65">
        <v>46005</v>
      </c>
      <c r="G71" s="17">
        <v>43</v>
      </c>
      <c r="H71" s="17">
        <v>228597.2097974862</v>
      </c>
      <c r="I71" s="17">
        <v>27765.790202513803</v>
      </c>
      <c r="J71">
        <f t="shared" si="0"/>
        <v>10.830654268562078</v>
      </c>
    </row>
    <row r="72" spans="1:10" x14ac:dyDescent="0.2">
      <c r="A72" s="38">
        <v>297376</v>
      </c>
      <c r="B72" s="39">
        <v>129343</v>
      </c>
      <c r="C72" s="39">
        <v>78306</v>
      </c>
      <c r="D72" s="63">
        <v>106.3</v>
      </c>
      <c r="E72" s="65">
        <v>46414</v>
      </c>
      <c r="G72" s="17">
        <v>44</v>
      </c>
      <c r="H72" s="17">
        <v>252759.64188349707</v>
      </c>
      <c r="I72" s="17">
        <v>3542.3581165029318</v>
      </c>
      <c r="J72">
        <f t="shared" si="0"/>
        <v>1.3821031894027094</v>
      </c>
    </row>
    <row r="73" spans="1:10" x14ac:dyDescent="0.2">
      <c r="A73" s="38">
        <v>351321</v>
      </c>
      <c r="B73" s="39">
        <v>156617</v>
      </c>
      <c r="C73" s="39">
        <v>152751</v>
      </c>
      <c r="D73" s="63">
        <v>99.5</v>
      </c>
      <c r="E73" s="65">
        <v>50190</v>
      </c>
      <c r="G73" s="17">
        <v>45</v>
      </c>
      <c r="H73" s="17">
        <v>260277.53646982313</v>
      </c>
      <c r="I73" s="17">
        <v>11709.463530176872</v>
      </c>
      <c r="J73">
        <f t="shared" si="0"/>
        <v>4.305155588383589</v>
      </c>
    </row>
    <row r="74" spans="1:10" x14ac:dyDescent="0.2">
      <c r="A74" s="38">
        <v>166750</v>
      </c>
      <c r="B74" s="39">
        <v>58604</v>
      </c>
      <c r="C74" s="39">
        <v>58295</v>
      </c>
      <c r="D74" s="63">
        <v>104.3</v>
      </c>
      <c r="E74" s="65">
        <v>151364</v>
      </c>
      <c r="G74" s="17">
        <v>46</v>
      </c>
      <c r="H74" s="17">
        <v>306604.14737630344</v>
      </c>
      <c r="I74" s="17">
        <v>-4066.1473763034446</v>
      </c>
      <c r="J74">
        <f t="shared" si="0"/>
        <v>1.3440121162642196</v>
      </c>
    </row>
    <row r="75" spans="1:10" x14ac:dyDescent="0.2">
      <c r="A75" s="38">
        <v>185047</v>
      </c>
      <c r="B75" s="39">
        <v>64009</v>
      </c>
      <c r="C75" s="39">
        <v>69190</v>
      </c>
      <c r="D75" s="63">
        <v>98.5</v>
      </c>
      <c r="E75" s="65">
        <v>159699</v>
      </c>
      <c r="G75" s="17">
        <v>47</v>
      </c>
      <c r="H75" s="17">
        <v>300511.2953254102</v>
      </c>
      <c r="I75" s="17">
        <v>22174.704674589797</v>
      </c>
      <c r="J75">
        <f t="shared" si="0"/>
        <v>6.871914081983661</v>
      </c>
    </row>
    <row r="76" spans="1:10" x14ac:dyDescent="0.2">
      <c r="A76" s="38">
        <v>198697</v>
      </c>
      <c r="B76" s="39">
        <v>63807</v>
      </c>
      <c r="C76" s="39">
        <v>59599</v>
      </c>
      <c r="D76" s="63">
        <v>102.8</v>
      </c>
      <c r="E76" s="65">
        <v>154197</v>
      </c>
      <c r="G76" s="17">
        <v>48</v>
      </c>
      <c r="H76" s="17">
        <v>323213.96888919326</v>
      </c>
      <c r="I76" s="17">
        <v>20121.03111080674</v>
      </c>
      <c r="J76">
        <f t="shared" si="0"/>
        <v>5.8604660494289078</v>
      </c>
    </row>
    <row r="77" spans="1:10" x14ac:dyDescent="0.2">
      <c r="A77" s="38">
        <v>207841</v>
      </c>
      <c r="B77" s="39">
        <v>82820</v>
      </c>
      <c r="C77" s="39">
        <v>75596</v>
      </c>
      <c r="D77" s="63">
        <v>101.3</v>
      </c>
      <c r="E77" s="65">
        <v>169284</v>
      </c>
      <c r="G77" s="17">
        <v>49</v>
      </c>
      <c r="H77" s="17">
        <v>160174.81732059081</v>
      </c>
      <c r="I77" s="17">
        <v>-15260.81732059081</v>
      </c>
      <c r="J77">
        <f t="shared" si="0"/>
        <v>10.530947541708054</v>
      </c>
    </row>
    <row r="78" spans="1:10" x14ac:dyDescent="0.2">
      <c r="A78" s="38">
        <v>240705</v>
      </c>
      <c r="B78" s="39">
        <v>84059</v>
      </c>
      <c r="C78" s="39">
        <v>74525</v>
      </c>
      <c r="D78" s="63">
        <v>102.9</v>
      </c>
      <c r="E78" s="65">
        <v>179920</v>
      </c>
      <c r="G78" s="17">
        <v>50</v>
      </c>
      <c r="H78" s="17">
        <v>186530.6919295406</v>
      </c>
      <c r="I78" s="17">
        <v>-15222.691929540597</v>
      </c>
      <c r="J78">
        <f t="shared" si="0"/>
        <v>8.8861535535646894</v>
      </c>
    </row>
    <row r="79" spans="1:10" x14ac:dyDescent="0.2">
      <c r="A79" s="38">
        <v>220235</v>
      </c>
      <c r="B79" s="39">
        <v>87108</v>
      </c>
      <c r="C79" s="39">
        <v>112648</v>
      </c>
      <c r="D79" s="63">
        <v>98.4</v>
      </c>
      <c r="E79" s="65">
        <v>161160</v>
      </c>
      <c r="G79" s="17">
        <v>51</v>
      </c>
      <c r="H79" s="17">
        <v>174857.45827374299</v>
      </c>
      <c r="I79" s="17">
        <v>9941.5417262570118</v>
      </c>
      <c r="J79">
        <f t="shared" si="0"/>
        <v>5.3796512569099466</v>
      </c>
    </row>
    <row r="80" spans="1:10" x14ac:dyDescent="0.2">
      <c r="A80" s="38">
        <v>270553</v>
      </c>
      <c r="B80" s="39">
        <v>89471</v>
      </c>
      <c r="C80" s="39">
        <v>98663</v>
      </c>
      <c r="D80" s="63">
        <v>103.6</v>
      </c>
      <c r="E80" s="65">
        <v>162489</v>
      </c>
      <c r="G80" s="17">
        <v>52</v>
      </c>
      <c r="H80" s="17">
        <v>172963.94078259493</v>
      </c>
      <c r="I80" s="17">
        <v>12574.059217405069</v>
      </c>
      <c r="J80">
        <f t="shared" si="0"/>
        <v>6.7770802840415811</v>
      </c>
    </row>
    <row r="81" spans="1:10" x14ac:dyDescent="0.2">
      <c r="A81" s="38">
        <v>296691</v>
      </c>
      <c r="B81" s="39">
        <v>140350</v>
      </c>
      <c r="C81" s="39">
        <v>89795</v>
      </c>
      <c r="D81" s="63">
        <v>98.5</v>
      </c>
      <c r="E81" s="65">
        <v>150797</v>
      </c>
      <c r="G81" s="17">
        <v>53</v>
      </c>
      <c r="H81" s="17">
        <v>178482.71409020355</v>
      </c>
      <c r="I81" s="17">
        <v>17137.285909796454</v>
      </c>
      <c r="J81">
        <f t="shared" si="0"/>
        <v>8.7604978579881685</v>
      </c>
    </row>
    <row r="82" spans="1:10" x14ac:dyDescent="0.2">
      <c r="A82" s="38">
        <v>298518</v>
      </c>
      <c r="B82" s="39">
        <v>104644</v>
      </c>
      <c r="C82" s="39">
        <v>130334</v>
      </c>
      <c r="D82" s="63">
        <v>103.7</v>
      </c>
      <c r="E82" s="65">
        <v>151680</v>
      </c>
      <c r="G82" s="17">
        <v>54</v>
      </c>
      <c r="H82" s="17">
        <v>216043.23462085254</v>
      </c>
      <c r="I82" s="17">
        <v>1625.7653791474586</v>
      </c>
      <c r="J82">
        <f t="shared" si="0"/>
        <v>0.74689798691934017</v>
      </c>
    </row>
    <row r="83" spans="1:10" x14ac:dyDescent="0.2">
      <c r="A83" s="38">
        <v>325963</v>
      </c>
      <c r="B83" s="39">
        <v>136164</v>
      </c>
      <c r="C83" s="39">
        <v>103159</v>
      </c>
      <c r="D83" s="63">
        <v>107.2</v>
      </c>
      <c r="E83" s="65">
        <v>172123</v>
      </c>
      <c r="G83" s="17">
        <v>55</v>
      </c>
      <c r="H83" s="17">
        <v>208243.5849317075</v>
      </c>
      <c r="I83" s="17">
        <v>38238.415068292496</v>
      </c>
      <c r="J83">
        <f t="shared" si="0"/>
        <v>15.513674454237023</v>
      </c>
    </row>
    <row r="84" spans="1:10" x14ac:dyDescent="0.2">
      <c r="A84" s="38">
        <v>325414</v>
      </c>
      <c r="B84" s="39">
        <v>125437</v>
      </c>
      <c r="C84" s="39">
        <v>81258</v>
      </c>
      <c r="D84" s="63">
        <v>105.7</v>
      </c>
      <c r="E84" s="65">
        <v>157511</v>
      </c>
      <c r="G84" s="17">
        <v>56</v>
      </c>
      <c r="H84" s="17">
        <v>211543.23484620734</v>
      </c>
      <c r="I84" s="17">
        <v>29305.765153792658</v>
      </c>
      <c r="J84">
        <f t="shared" si="0"/>
        <v>12.167692269344135</v>
      </c>
    </row>
    <row r="85" spans="1:10" x14ac:dyDescent="0.2">
      <c r="A85" s="38">
        <v>379207</v>
      </c>
      <c r="B85" s="39">
        <v>178536</v>
      </c>
      <c r="C85" s="39">
        <v>162392</v>
      </c>
      <c r="D85" s="63">
        <v>107.1</v>
      </c>
      <c r="E85" s="65">
        <v>157260</v>
      </c>
      <c r="G85" s="17">
        <v>57</v>
      </c>
      <c r="H85" s="17">
        <v>243133.46652439129</v>
      </c>
      <c r="I85" s="17">
        <v>35346.53347560871</v>
      </c>
      <c r="J85">
        <f t="shared" si="0"/>
        <v>12.692664994114017</v>
      </c>
    </row>
    <row r="86" spans="1:10" x14ac:dyDescent="0.2">
      <c r="A86" s="38">
        <v>181239</v>
      </c>
      <c r="B86" s="39">
        <v>55133</v>
      </c>
      <c r="C86" s="39">
        <v>28143</v>
      </c>
      <c r="D86" s="63">
        <v>103.8</v>
      </c>
      <c r="E86" s="65">
        <v>177407</v>
      </c>
      <c r="G86" s="17">
        <v>58</v>
      </c>
      <c r="H86" s="17">
        <v>266536.18471371138</v>
      </c>
      <c r="I86" s="17">
        <v>34392.81528628862</v>
      </c>
      <c r="J86">
        <f t="shared" si="0"/>
        <v>11.428880329343007</v>
      </c>
    </row>
    <row r="87" spans="1:10" x14ac:dyDescent="0.2">
      <c r="A87" s="38">
        <v>196578</v>
      </c>
      <c r="B87" s="39">
        <v>71447</v>
      </c>
      <c r="C87" s="39">
        <v>41718</v>
      </c>
      <c r="D87" s="63">
        <v>110.9</v>
      </c>
      <c r="E87" s="65">
        <v>179552</v>
      </c>
      <c r="G87" s="17">
        <v>59</v>
      </c>
      <c r="H87" s="17">
        <v>236804.52310639594</v>
      </c>
      <c r="I87" s="17">
        <v>78555.476893604064</v>
      </c>
      <c r="J87">
        <f t="shared" si="0"/>
        <v>24.909778314816101</v>
      </c>
    </row>
    <row r="88" spans="1:10" x14ac:dyDescent="0.2">
      <c r="A88" s="38">
        <v>193186</v>
      </c>
      <c r="B88" s="39">
        <v>63586</v>
      </c>
      <c r="C88" s="39">
        <v>43368</v>
      </c>
      <c r="D88" s="63">
        <v>102.6</v>
      </c>
      <c r="E88" s="65">
        <v>185734</v>
      </c>
      <c r="G88" s="17">
        <v>60</v>
      </c>
      <c r="H88" s="17">
        <v>321653.45261277322</v>
      </c>
      <c r="I88" s="17">
        <v>29960.547387226776</v>
      </c>
      <c r="J88">
        <f t="shared" si="0"/>
        <v>8.5208630450513265</v>
      </c>
    </row>
    <row r="89" spans="1:10" x14ac:dyDescent="0.2">
      <c r="A89" s="38">
        <v>217703</v>
      </c>
      <c r="B89" s="39">
        <v>101116</v>
      </c>
      <c r="C89" s="39">
        <v>55228</v>
      </c>
      <c r="D89" s="63">
        <v>103.1</v>
      </c>
      <c r="E89" s="65">
        <v>160216</v>
      </c>
      <c r="G89" s="17">
        <v>61</v>
      </c>
      <c r="H89" s="17">
        <v>187805.63969881201</v>
      </c>
      <c r="I89" s="17">
        <v>-35794.63969881201</v>
      </c>
      <c r="J89">
        <f t="shared" si="0"/>
        <v>23.547400976779322</v>
      </c>
    </row>
    <row r="90" spans="1:10" x14ac:dyDescent="0.2">
      <c r="A90" s="38">
        <v>240038</v>
      </c>
      <c r="B90" s="39">
        <v>112971</v>
      </c>
      <c r="C90" s="39">
        <v>61064</v>
      </c>
      <c r="D90" s="63">
        <v>102.6</v>
      </c>
      <c r="E90" s="65">
        <v>156764</v>
      </c>
      <c r="G90" s="17">
        <v>62</v>
      </c>
      <c r="H90" s="17">
        <v>164466.75428236579</v>
      </c>
      <c r="I90" s="17">
        <v>-13237.754282365786</v>
      </c>
      <c r="J90">
        <f t="shared" si="0"/>
        <v>8.7534495912594714</v>
      </c>
    </row>
    <row r="91" spans="1:10" x14ac:dyDescent="0.2">
      <c r="A91" s="38">
        <v>235631</v>
      </c>
      <c r="B91" s="39">
        <v>81343</v>
      </c>
      <c r="C91" s="39">
        <v>57715</v>
      </c>
      <c r="D91" s="63">
        <v>103.2</v>
      </c>
      <c r="E91" s="65">
        <v>179308</v>
      </c>
      <c r="G91" s="17">
        <v>63</v>
      </c>
      <c r="H91" s="17">
        <v>183813.47381874174</v>
      </c>
      <c r="I91" s="17">
        <v>-3634.4738187417388</v>
      </c>
      <c r="J91">
        <f t="shared" si="0"/>
        <v>2.0171461817091552</v>
      </c>
    </row>
    <row r="92" spans="1:10" x14ac:dyDescent="0.2">
      <c r="A92" s="38">
        <v>258876</v>
      </c>
      <c r="B92" s="39">
        <v>96530</v>
      </c>
      <c r="C92" s="39">
        <v>72256</v>
      </c>
      <c r="D92" s="63">
        <v>99</v>
      </c>
      <c r="E92" s="65">
        <v>205622</v>
      </c>
      <c r="G92" s="17">
        <v>64</v>
      </c>
      <c r="H92" s="17">
        <v>195789.32283366754</v>
      </c>
      <c r="I92" s="17">
        <v>-10280.322833667538</v>
      </c>
      <c r="J92">
        <f t="shared" si="0"/>
        <v>5.5416841412910092</v>
      </c>
    </row>
    <row r="93" spans="1:10" x14ac:dyDescent="0.2">
      <c r="A93" s="38">
        <v>260296</v>
      </c>
      <c r="B93" s="39">
        <v>125476</v>
      </c>
      <c r="C93" s="39">
        <v>50178</v>
      </c>
      <c r="D93" s="63">
        <v>102</v>
      </c>
      <c r="E93" s="65">
        <v>183620</v>
      </c>
      <c r="G93" s="17">
        <v>65</v>
      </c>
      <c r="H93" s="17">
        <v>201104.18122192519</v>
      </c>
      <c r="I93" s="17">
        <v>3144.8187780748121</v>
      </c>
      <c r="J93">
        <f t="shared" si="0"/>
        <v>1.539698494521301</v>
      </c>
    </row>
    <row r="94" spans="1:10" x14ac:dyDescent="0.2">
      <c r="A94" s="38">
        <v>280285</v>
      </c>
      <c r="B94" s="39">
        <v>116469</v>
      </c>
      <c r="C94" s="39">
        <v>65144</v>
      </c>
      <c r="D94" s="63">
        <v>98.7</v>
      </c>
      <c r="E94" s="65">
        <v>193227</v>
      </c>
      <c r="G94" s="17">
        <v>66</v>
      </c>
      <c r="H94" s="17">
        <v>231688.73443638513</v>
      </c>
      <c r="I94" s="17">
        <v>-5684.7344363851298</v>
      </c>
      <c r="J94">
        <f t="shared" ref="J94:J157" si="1">ABS((A67-H94)/A67)*100</f>
        <v>2.515324700618188</v>
      </c>
    </row>
    <row r="95" spans="1:10" x14ac:dyDescent="0.2">
      <c r="A95" s="38">
        <v>297145</v>
      </c>
      <c r="B95" s="39">
        <v>111795</v>
      </c>
      <c r="C95" s="39">
        <v>86246</v>
      </c>
      <c r="D95" s="63">
        <v>102.6</v>
      </c>
      <c r="E95" s="65">
        <v>164385</v>
      </c>
      <c r="G95" s="17">
        <v>67</v>
      </c>
      <c r="H95" s="17">
        <v>211798.34525643155</v>
      </c>
      <c r="I95" s="17">
        <v>1235.6547435684479</v>
      </c>
      <c r="J95">
        <f t="shared" si="1"/>
        <v>0.58002701144814817</v>
      </c>
    </row>
    <row r="96" spans="1:10" x14ac:dyDescent="0.2">
      <c r="A96" s="38">
        <v>388327</v>
      </c>
      <c r="B96" s="39">
        <v>204157</v>
      </c>
      <c r="C96" s="39">
        <v>103292</v>
      </c>
      <c r="D96" s="63">
        <v>102.9</v>
      </c>
      <c r="E96" s="65">
        <v>206916</v>
      </c>
      <c r="G96" s="17">
        <v>68</v>
      </c>
      <c r="H96" s="17">
        <v>236972.06179315745</v>
      </c>
      <c r="I96" s="17">
        <v>28008.938206842548</v>
      </c>
      <c r="J96">
        <f t="shared" si="1"/>
        <v>10.570168505229638</v>
      </c>
    </row>
    <row r="97" spans="1:10" x14ac:dyDescent="0.2">
      <c r="A97" s="38">
        <v>349304</v>
      </c>
      <c r="B97" s="39">
        <v>160788</v>
      </c>
      <c r="C97" s="39">
        <v>95657</v>
      </c>
      <c r="D97" s="63">
        <v>102</v>
      </c>
      <c r="E97" s="65">
        <v>198279</v>
      </c>
      <c r="G97" s="17">
        <v>69</v>
      </c>
      <c r="H97" s="17">
        <v>229854.52639302763</v>
      </c>
      <c r="I97" s="17">
        <v>26282.473606972373</v>
      </c>
      <c r="J97">
        <f t="shared" si="1"/>
        <v>10.261099960947607</v>
      </c>
    </row>
    <row r="98" spans="1:10" x14ac:dyDescent="0.2">
      <c r="A98" s="38">
        <v>108812</v>
      </c>
      <c r="B98" s="39">
        <v>40383</v>
      </c>
      <c r="C98" s="39">
        <v>18081</v>
      </c>
      <c r="D98" s="63">
        <v>102.4</v>
      </c>
      <c r="E98" s="65">
        <v>37033</v>
      </c>
      <c r="G98" s="17">
        <v>70</v>
      </c>
      <c r="H98" s="17">
        <v>298847.96633948357</v>
      </c>
      <c r="I98" s="17">
        <v>13014.033660516434</v>
      </c>
      <c r="J98">
        <f t="shared" si="1"/>
        <v>4.1730103893762092</v>
      </c>
    </row>
    <row r="99" spans="1:10" x14ac:dyDescent="0.2">
      <c r="A99" s="38">
        <v>97639</v>
      </c>
      <c r="B99" s="39">
        <v>43237</v>
      </c>
      <c r="C99" s="39">
        <v>21386</v>
      </c>
      <c r="D99" s="63">
        <v>99.3</v>
      </c>
      <c r="E99" s="65">
        <v>35717</v>
      </c>
      <c r="G99" s="17">
        <v>71</v>
      </c>
      <c r="H99" s="17">
        <v>266823.75099170028</v>
      </c>
      <c r="I99" s="17">
        <v>30552.249008299725</v>
      </c>
      <c r="J99">
        <f t="shared" si="1"/>
        <v>10.273945781872015</v>
      </c>
    </row>
    <row r="100" spans="1:10" x14ac:dyDescent="0.2">
      <c r="A100" s="38">
        <v>123743</v>
      </c>
      <c r="B100" s="39">
        <v>56274</v>
      </c>
      <c r="C100" s="39">
        <v>26734</v>
      </c>
      <c r="D100" s="63">
        <v>99.7</v>
      </c>
      <c r="E100" s="65">
        <v>38881</v>
      </c>
      <c r="G100" s="17">
        <v>72</v>
      </c>
      <c r="H100" s="17">
        <v>316903.3235276271</v>
      </c>
      <c r="I100" s="17">
        <v>34417.676472372899</v>
      </c>
      <c r="J100">
        <f t="shared" si="1"/>
        <v>9.7966465062927917</v>
      </c>
    </row>
    <row r="101" spans="1:10" x14ac:dyDescent="0.2">
      <c r="A101" s="38">
        <v>144170</v>
      </c>
      <c r="B101" s="39">
        <v>51041</v>
      </c>
      <c r="C101" s="39">
        <v>28048</v>
      </c>
      <c r="D101" s="63">
        <v>99.3</v>
      </c>
      <c r="E101" s="65">
        <v>35163</v>
      </c>
      <c r="G101" s="17">
        <v>73</v>
      </c>
      <c r="H101" s="17">
        <v>178761.55127204963</v>
      </c>
      <c r="I101" s="17">
        <v>-12011.551272049634</v>
      </c>
      <c r="J101">
        <f t="shared" si="1"/>
        <v>7.2033290986804399</v>
      </c>
    </row>
    <row r="102" spans="1:10" x14ac:dyDescent="0.2">
      <c r="A102" s="38">
        <v>152961</v>
      </c>
      <c r="B102" s="39">
        <v>66194</v>
      </c>
      <c r="C102" s="39">
        <v>20207</v>
      </c>
      <c r="D102" s="63">
        <v>102.2</v>
      </c>
      <c r="E102" s="65">
        <v>36011</v>
      </c>
      <c r="G102" s="17">
        <v>74</v>
      </c>
      <c r="H102" s="17">
        <v>181410.75939942166</v>
      </c>
      <c r="I102" s="17">
        <v>3636.2406005783414</v>
      </c>
      <c r="J102">
        <f t="shared" si="1"/>
        <v>1.9650362343503764</v>
      </c>
    </row>
    <row r="103" spans="1:10" x14ac:dyDescent="0.2">
      <c r="A103" s="38">
        <v>163377</v>
      </c>
      <c r="B103" s="39">
        <v>63061</v>
      </c>
      <c r="C103" s="39">
        <v>30295</v>
      </c>
      <c r="D103" s="63">
        <v>107.8</v>
      </c>
      <c r="E103" s="65">
        <v>33807</v>
      </c>
      <c r="G103" s="17">
        <v>75</v>
      </c>
      <c r="H103" s="17">
        <v>183774.50847213523</v>
      </c>
      <c r="I103" s="17">
        <v>14922.491527864768</v>
      </c>
      <c r="J103">
        <f t="shared" si="1"/>
        <v>7.5101745511330158</v>
      </c>
    </row>
    <row r="104" spans="1:10" x14ac:dyDescent="0.2">
      <c r="A104" s="38">
        <v>182740</v>
      </c>
      <c r="B104" s="39">
        <v>61403</v>
      </c>
      <c r="C104" s="39">
        <v>31594</v>
      </c>
      <c r="D104" s="63">
        <v>108.6</v>
      </c>
      <c r="E104" s="65">
        <v>40853</v>
      </c>
      <c r="G104" s="17">
        <v>76</v>
      </c>
      <c r="H104" s="17">
        <v>212462.6481703574</v>
      </c>
      <c r="I104" s="17">
        <v>-4621.6481703573954</v>
      </c>
      <c r="J104">
        <f t="shared" si="1"/>
        <v>2.2236460420982365</v>
      </c>
    </row>
    <row r="105" spans="1:10" x14ac:dyDescent="0.2">
      <c r="A105" s="38">
        <v>177789</v>
      </c>
      <c r="B105" s="39">
        <v>61017</v>
      </c>
      <c r="C105" s="39">
        <v>32669</v>
      </c>
      <c r="D105" s="63">
        <v>101.2</v>
      </c>
      <c r="E105" s="65">
        <v>39193</v>
      </c>
      <c r="G105" s="17">
        <v>77</v>
      </c>
      <c r="H105" s="17">
        <v>217153.05750584911</v>
      </c>
      <c r="I105" s="17">
        <v>23551.942494150891</v>
      </c>
      <c r="J105">
        <f t="shared" si="1"/>
        <v>9.7845672063940885</v>
      </c>
    </row>
    <row r="106" spans="1:10" x14ac:dyDescent="0.2">
      <c r="A106" s="38">
        <v>200870</v>
      </c>
      <c r="B106" s="39">
        <v>66444</v>
      </c>
      <c r="C106" s="39">
        <v>33223</v>
      </c>
      <c r="D106" s="63">
        <v>101</v>
      </c>
      <c r="E106" s="65">
        <v>39835</v>
      </c>
      <c r="G106" s="17">
        <v>78</v>
      </c>
      <c r="H106" s="17">
        <v>225427.59856253222</v>
      </c>
      <c r="I106" s="17">
        <v>-5192.598562532221</v>
      </c>
      <c r="J106">
        <f t="shared" si="1"/>
        <v>2.3577535643890486</v>
      </c>
    </row>
    <row r="107" spans="1:10" x14ac:dyDescent="0.2">
      <c r="A107" s="38">
        <v>208926</v>
      </c>
      <c r="B107" s="39">
        <v>90937</v>
      </c>
      <c r="C107" s="39">
        <v>40474</v>
      </c>
      <c r="D107" s="63">
        <v>101.5</v>
      </c>
      <c r="E107" s="65">
        <v>39752</v>
      </c>
      <c r="G107" s="17">
        <v>79</v>
      </c>
      <c r="H107" s="17">
        <v>231555.16660766533</v>
      </c>
      <c r="I107" s="17">
        <v>38997.833392334665</v>
      </c>
      <c r="J107">
        <f t="shared" si="1"/>
        <v>14.414119744499107</v>
      </c>
    </row>
    <row r="108" spans="1:10" x14ac:dyDescent="0.2">
      <c r="A108" s="38">
        <v>236871</v>
      </c>
      <c r="B108" s="39">
        <v>92111</v>
      </c>
      <c r="C108" s="39">
        <v>41692</v>
      </c>
      <c r="D108" s="63">
        <v>105.1</v>
      </c>
      <c r="E108" s="65">
        <v>39223</v>
      </c>
      <c r="G108" s="17">
        <v>80</v>
      </c>
      <c r="H108" s="17">
        <v>283525.86707339488</v>
      </c>
      <c r="I108" s="17">
        <v>13165.132926605118</v>
      </c>
      <c r="J108">
        <f t="shared" si="1"/>
        <v>4.4373212960976636</v>
      </c>
    </row>
    <row r="109" spans="1:10" x14ac:dyDescent="0.2">
      <c r="A109" s="38">
        <v>241312</v>
      </c>
      <c r="B109" s="39">
        <v>90313</v>
      </c>
      <c r="C109" s="39">
        <v>37341</v>
      </c>
      <c r="D109" s="63">
        <v>102</v>
      </c>
      <c r="E109" s="65">
        <v>40044</v>
      </c>
      <c r="G109" s="17">
        <v>81</v>
      </c>
      <c r="H109" s="17">
        <v>260592.57654488541</v>
      </c>
      <c r="I109" s="17">
        <v>37925.423455114593</v>
      </c>
      <c r="J109">
        <f t="shared" si="1"/>
        <v>12.704568386199355</v>
      </c>
    </row>
    <row r="110" spans="1:10" x14ac:dyDescent="0.2">
      <c r="A110" s="38">
        <v>135095</v>
      </c>
      <c r="B110" s="39">
        <v>42772</v>
      </c>
      <c r="C110" s="39">
        <v>26446</v>
      </c>
      <c r="D110" s="63">
        <v>100.4</v>
      </c>
      <c r="E110" s="65">
        <v>45583</v>
      </c>
      <c r="G110" s="17">
        <v>82</v>
      </c>
      <c r="H110" s="17">
        <v>298191.69452783169</v>
      </c>
      <c r="I110" s="17">
        <v>27771.305472168315</v>
      </c>
      <c r="J110">
        <f t="shared" si="1"/>
        <v>8.5197723275857431</v>
      </c>
    </row>
    <row r="111" spans="1:10" x14ac:dyDescent="0.2">
      <c r="A111" s="38">
        <v>158009</v>
      </c>
      <c r="B111" s="39">
        <v>62380</v>
      </c>
      <c r="C111" s="39">
        <v>50389</v>
      </c>
      <c r="D111" s="63">
        <v>101</v>
      </c>
      <c r="E111" s="65">
        <v>41361</v>
      </c>
      <c r="G111" s="17">
        <v>83</v>
      </c>
      <c r="H111" s="17">
        <v>273397.39168178965</v>
      </c>
      <c r="I111" s="17">
        <v>52016.608318210347</v>
      </c>
      <c r="J111">
        <f t="shared" si="1"/>
        <v>15.984748141816377</v>
      </c>
    </row>
    <row r="112" spans="1:10" x14ac:dyDescent="0.2">
      <c r="A112" s="38">
        <v>156671</v>
      </c>
      <c r="B112" s="39">
        <v>56226</v>
      </c>
      <c r="C112" s="39">
        <v>59168</v>
      </c>
      <c r="D112" s="63">
        <v>98.9</v>
      </c>
      <c r="E112" s="65">
        <v>45577</v>
      </c>
      <c r="G112" s="17">
        <v>84</v>
      </c>
      <c r="H112" s="17">
        <v>370196.59039755585</v>
      </c>
      <c r="I112" s="17">
        <v>9010.4096024441533</v>
      </c>
      <c r="J112">
        <f t="shared" si="1"/>
        <v>2.3761190068865163</v>
      </c>
    </row>
    <row r="113" spans="1:10" x14ac:dyDescent="0.2">
      <c r="A113" s="38">
        <v>160552</v>
      </c>
      <c r="B113" s="39">
        <v>52940</v>
      </c>
      <c r="C113" s="39">
        <v>51364</v>
      </c>
      <c r="D113" s="63">
        <v>104.7</v>
      </c>
      <c r="E113" s="65">
        <v>51091</v>
      </c>
      <c r="G113" s="17">
        <v>85</v>
      </c>
      <c r="H113" s="17">
        <v>165905.93232578057</v>
      </c>
      <c r="I113" s="17">
        <v>15333.067674219434</v>
      </c>
      <c r="J113">
        <f t="shared" si="1"/>
        <v>8.460136987193394</v>
      </c>
    </row>
    <row r="114" spans="1:10" x14ac:dyDescent="0.2">
      <c r="A114" s="38">
        <v>187019</v>
      </c>
      <c r="B114" s="39">
        <v>67795</v>
      </c>
      <c r="C114" s="39">
        <v>39415</v>
      </c>
      <c r="D114" s="63">
        <v>102.5</v>
      </c>
      <c r="E114" s="65">
        <v>48327</v>
      </c>
      <c r="G114" s="17">
        <v>86</v>
      </c>
      <c r="H114" s="17">
        <v>202023.32244857508</v>
      </c>
      <c r="I114" s="17">
        <v>-5445.3224485750834</v>
      </c>
      <c r="J114">
        <f t="shared" si="1"/>
        <v>2.770056897809055</v>
      </c>
    </row>
    <row r="115" spans="1:10" x14ac:dyDescent="0.2">
      <c r="A115" s="38">
        <v>222003</v>
      </c>
      <c r="B115" s="39">
        <v>90942</v>
      </c>
      <c r="C115" s="39">
        <v>67160</v>
      </c>
      <c r="D115" s="63">
        <v>107.8</v>
      </c>
      <c r="E115" s="65">
        <v>48552</v>
      </c>
      <c r="G115" s="17">
        <v>87</v>
      </c>
      <c r="H115" s="17">
        <v>180821.05240925998</v>
      </c>
      <c r="I115" s="17">
        <v>12364.947590740019</v>
      </c>
      <c r="J115">
        <f t="shared" si="1"/>
        <v>6.4005401999834453</v>
      </c>
    </row>
    <row r="116" spans="1:10" x14ac:dyDescent="0.2">
      <c r="A116" s="38">
        <v>229270</v>
      </c>
      <c r="B116" s="39">
        <v>84010</v>
      </c>
      <c r="C116" s="39">
        <v>59818</v>
      </c>
      <c r="D116" s="63">
        <v>103.5</v>
      </c>
      <c r="E116" s="65">
        <v>55106</v>
      </c>
      <c r="G116" s="17">
        <v>88</v>
      </c>
      <c r="H116" s="17">
        <v>230210.30641413265</v>
      </c>
      <c r="I116" s="17">
        <v>-12507.306414132647</v>
      </c>
      <c r="J116">
        <f t="shared" si="1"/>
        <v>5.7451235922943855</v>
      </c>
    </row>
    <row r="117" spans="1:10" x14ac:dyDescent="0.2">
      <c r="A117" s="38">
        <v>241196</v>
      </c>
      <c r="B117" s="39">
        <v>96959</v>
      </c>
      <c r="C117" s="39">
        <v>63598</v>
      </c>
      <c r="D117" s="63">
        <v>93.7</v>
      </c>
      <c r="E117" s="65">
        <v>50781</v>
      </c>
      <c r="G117" s="17">
        <v>89</v>
      </c>
      <c r="H117" s="17">
        <v>246011.03478505538</v>
      </c>
      <c r="I117" s="17">
        <v>-5973.0347850553808</v>
      </c>
      <c r="J117">
        <f t="shared" si="1"/>
        <v>2.4883705017769606</v>
      </c>
    </row>
    <row r="118" spans="1:10" x14ac:dyDescent="0.2">
      <c r="A118" s="38">
        <v>263087</v>
      </c>
      <c r="B118" s="39">
        <v>118444</v>
      </c>
      <c r="C118" s="39">
        <v>86509</v>
      </c>
      <c r="D118" s="63">
        <v>102.1</v>
      </c>
      <c r="E118" s="65">
        <v>42583</v>
      </c>
      <c r="G118" s="17">
        <v>90</v>
      </c>
      <c r="H118" s="17">
        <v>208330.04921142553</v>
      </c>
      <c r="I118" s="17">
        <v>27300.950788574468</v>
      </c>
      <c r="J118">
        <f t="shared" si="1"/>
        <v>11.586315378101551</v>
      </c>
    </row>
    <row r="119" spans="1:10" x14ac:dyDescent="0.2">
      <c r="A119" s="38">
        <v>288050</v>
      </c>
      <c r="B119" s="39">
        <v>101397</v>
      </c>
      <c r="C119" s="39">
        <v>98584</v>
      </c>
      <c r="D119" s="63">
        <v>103.9</v>
      </c>
      <c r="E119" s="65">
        <v>49191</v>
      </c>
      <c r="G119" s="17">
        <v>91</v>
      </c>
      <c r="H119" s="17">
        <v>228782.30232363546</v>
      </c>
      <c r="I119" s="17">
        <v>30093.697676364536</v>
      </c>
      <c r="J119">
        <f t="shared" si="1"/>
        <v>11.624753811231839</v>
      </c>
    </row>
    <row r="120" spans="1:10" x14ac:dyDescent="0.2">
      <c r="A120" s="38">
        <v>324716</v>
      </c>
      <c r="B120" s="39">
        <v>161933</v>
      </c>
      <c r="C120" s="39">
        <v>114049</v>
      </c>
      <c r="D120" s="63">
        <v>106.6</v>
      </c>
      <c r="E120" s="65">
        <v>49125</v>
      </c>
      <c r="G120" s="17">
        <v>92</v>
      </c>
      <c r="H120" s="17">
        <v>259808.38323614598</v>
      </c>
      <c r="I120" s="17">
        <v>487.61676385402097</v>
      </c>
      <c r="J120">
        <f t="shared" si="1"/>
        <v>0.18733163930833396</v>
      </c>
    </row>
    <row r="121" spans="1:10" x14ac:dyDescent="0.2">
      <c r="A121" s="38">
        <v>304662</v>
      </c>
      <c r="B121" s="39">
        <v>114407</v>
      </c>
      <c r="C121" s="39">
        <v>91684</v>
      </c>
      <c r="D121" s="63">
        <v>103</v>
      </c>
      <c r="E121" s="65">
        <v>52639</v>
      </c>
      <c r="G121" s="17">
        <v>93</v>
      </c>
      <c r="H121" s="17">
        <v>249658.54166249174</v>
      </c>
      <c r="I121" s="17">
        <v>30626.458337508258</v>
      </c>
      <c r="J121">
        <f t="shared" si="1"/>
        <v>10.926898812818473</v>
      </c>
    </row>
    <row r="122" spans="1:10" x14ac:dyDescent="0.2">
      <c r="A122" s="38">
        <v>193883</v>
      </c>
      <c r="B122" s="39">
        <v>82655</v>
      </c>
      <c r="C122" s="39">
        <v>32329</v>
      </c>
      <c r="D122" s="63">
        <v>104.7</v>
      </c>
      <c r="E122" s="65">
        <v>183728</v>
      </c>
      <c r="G122" s="17">
        <v>94</v>
      </c>
      <c r="H122" s="17">
        <v>254003.10040227629</v>
      </c>
      <c r="I122" s="17">
        <v>43141.899597723706</v>
      </c>
      <c r="J122">
        <f t="shared" si="1"/>
        <v>14.518803815552578</v>
      </c>
    </row>
    <row r="123" spans="1:10" x14ac:dyDescent="0.2">
      <c r="A123" s="38">
        <v>212184</v>
      </c>
      <c r="B123" s="39">
        <v>105670</v>
      </c>
      <c r="C123" s="39">
        <v>35120</v>
      </c>
      <c r="D123" s="63">
        <v>101.9</v>
      </c>
      <c r="E123" s="65">
        <v>162571</v>
      </c>
      <c r="G123" s="17">
        <v>95</v>
      </c>
      <c r="H123" s="17">
        <v>380734.77060868323</v>
      </c>
      <c r="I123" s="17">
        <v>7592.2293913167669</v>
      </c>
      <c r="J123">
        <f t="shared" si="1"/>
        <v>1.9551124159063797</v>
      </c>
    </row>
    <row r="124" spans="1:10" x14ac:dyDescent="0.2">
      <c r="A124" s="38">
        <v>214825</v>
      </c>
      <c r="B124" s="39">
        <v>110304</v>
      </c>
      <c r="C124" s="39">
        <v>48255</v>
      </c>
      <c r="D124" s="63">
        <v>95.3</v>
      </c>
      <c r="E124" s="65">
        <v>177213</v>
      </c>
      <c r="G124" s="17">
        <v>96</v>
      </c>
      <c r="H124" s="17">
        <v>321368.60688042018</v>
      </c>
      <c r="I124" s="17">
        <v>27935.393119579821</v>
      </c>
      <c r="J124">
        <f t="shared" si="1"/>
        <v>7.9974443807055806</v>
      </c>
    </row>
    <row r="125" spans="1:10" x14ac:dyDescent="0.2">
      <c r="A125" s="38">
        <v>223706</v>
      </c>
      <c r="B125" s="39">
        <v>152864</v>
      </c>
      <c r="C125" s="39">
        <v>47882</v>
      </c>
      <c r="D125" s="63">
        <v>99.8</v>
      </c>
      <c r="E125" s="65">
        <v>173792</v>
      </c>
      <c r="G125" s="17">
        <v>97</v>
      </c>
      <c r="H125" s="17">
        <v>127424.6844082239</v>
      </c>
      <c r="I125" s="17">
        <v>-18612.684408223897</v>
      </c>
      <c r="J125">
        <f t="shared" si="1"/>
        <v>17.105360078138347</v>
      </c>
    </row>
    <row r="126" spans="1:10" x14ac:dyDescent="0.2">
      <c r="A126" s="38">
        <v>249746</v>
      </c>
      <c r="B126" s="39">
        <v>153890</v>
      </c>
      <c r="C126" s="39">
        <v>51773</v>
      </c>
      <c r="D126" s="63">
        <v>103.1</v>
      </c>
      <c r="E126" s="65">
        <v>156636</v>
      </c>
      <c r="G126" s="17">
        <v>98</v>
      </c>
      <c r="H126" s="17">
        <v>127337.32869806887</v>
      </c>
      <c r="I126" s="17">
        <v>-29698.328698068872</v>
      </c>
      <c r="J126">
        <f t="shared" si="1"/>
        <v>30.416461350555483</v>
      </c>
    </row>
    <row r="127" spans="1:10" x14ac:dyDescent="0.2">
      <c r="A127" s="38">
        <v>274821</v>
      </c>
      <c r="B127" s="39">
        <v>155968</v>
      </c>
      <c r="C127" s="39">
        <v>45946</v>
      </c>
      <c r="D127" s="63">
        <v>103.3</v>
      </c>
      <c r="E127" s="65">
        <v>188588</v>
      </c>
      <c r="G127" s="17">
        <v>99</v>
      </c>
      <c r="H127" s="17">
        <v>146490.13806148327</v>
      </c>
      <c r="I127" s="17">
        <v>-22747.138061483274</v>
      </c>
      <c r="J127">
        <f t="shared" si="1"/>
        <v>18.382565528137569</v>
      </c>
    </row>
    <row r="128" spans="1:10" x14ac:dyDescent="0.2">
      <c r="A128" s="38">
        <v>279673</v>
      </c>
      <c r="B128" s="39">
        <v>158357</v>
      </c>
      <c r="C128" s="39">
        <v>70696</v>
      </c>
      <c r="D128" s="63">
        <v>101.1</v>
      </c>
      <c r="E128" s="65">
        <v>159682</v>
      </c>
      <c r="G128" s="17">
        <v>100</v>
      </c>
      <c r="H128" s="17">
        <v>139384.586455132</v>
      </c>
      <c r="I128" s="17">
        <v>4785.4135448680026</v>
      </c>
      <c r="J128">
        <f t="shared" si="1"/>
        <v>3.319285249960465</v>
      </c>
    </row>
    <row r="129" spans="1:10" x14ac:dyDescent="0.2">
      <c r="A129" s="38">
        <v>299936</v>
      </c>
      <c r="B129" s="39">
        <v>152465</v>
      </c>
      <c r="C129" s="39">
        <v>61354</v>
      </c>
      <c r="D129" s="63">
        <v>104.3</v>
      </c>
      <c r="E129" s="65">
        <v>169391</v>
      </c>
      <c r="G129" s="17">
        <v>101</v>
      </c>
      <c r="H129" s="17">
        <v>160181.09658566272</v>
      </c>
      <c r="I129" s="17">
        <v>-7220.0965856627154</v>
      </c>
      <c r="J129">
        <f t="shared" si="1"/>
        <v>4.7202205697286992</v>
      </c>
    </row>
    <row r="130" spans="1:10" x14ac:dyDescent="0.2">
      <c r="A130" s="38">
        <v>328241</v>
      </c>
      <c r="B130" s="39">
        <v>181847</v>
      </c>
      <c r="C130" s="39">
        <v>57142</v>
      </c>
      <c r="D130" s="63">
        <v>106.5</v>
      </c>
      <c r="E130" s="65">
        <v>193558</v>
      </c>
      <c r="G130" s="17">
        <v>102</v>
      </c>
      <c r="H130" s="17">
        <v>167952.73697067055</v>
      </c>
      <c r="I130" s="17">
        <v>-4575.7369706705504</v>
      </c>
      <c r="J130">
        <f t="shared" si="1"/>
        <v>2.8007228500159451</v>
      </c>
    </row>
    <row r="131" spans="1:10" x14ac:dyDescent="0.2">
      <c r="A131" s="38">
        <v>375400</v>
      </c>
      <c r="B131" s="39">
        <v>249129</v>
      </c>
      <c r="C131" s="39">
        <v>68521</v>
      </c>
      <c r="D131" s="63">
        <v>104.8</v>
      </c>
      <c r="E131" s="65">
        <v>177893</v>
      </c>
      <c r="G131" s="17">
        <v>103</v>
      </c>
      <c r="H131" s="17">
        <v>168246.3326099214</v>
      </c>
      <c r="I131" s="17">
        <v>14493.667390078597</v>
      </c>
      <c r="J131">
        <f t="shared" si="1"/>
        <v>7.931305346436794</v>
      </c>
    </row>
    <row r="132" spans="1:10" x14ac:dyDescent="0.2">
      <c r="A132" s="38">
        <v>377811</v>
      </c>
      <c r="B132" s="39">
        <v>231174</v>
      </c>
      <c r="C132" s="39">
        <v>96205</v>
      </c>
      <c r="D132" s="63">
        <v>100.9</v>
      </c>
      <c r="E132" s="65">
        <v>196725</v>
      </c>
      <c r="G132" s="17">
        <v>104</v>
      </c>
      <c r="H132" s="17">
        <v>156793.28531395842</v>
      </c>
      <c r="I132" s="17">
        <v>20995.714686041581</v>
      </c>
      <c r="J132">
        <f t="shared" si="1"/>
        <v>11.809344046055482</v>
      </c>
    </row>
    <row r="133" spans="1:10" x14ac:dyDescent="0.2">
      <c r="A133" s="38">
        <v>409565</v>
      </c>
      <c r="B133" s="39">
        <v>232728</v>
      </c>
      <c r="C133" s="39">
        <v>103327</v>
      </c>
      <c r="D133" s="63">
        <v>102.2</v>
      </c>
      <c r="E133" s="65">
        <v>188423</v>
      </c>
      <c r="G133" s="17">
        <v>105</v>
      </c>
      <c r="H133" s="17">
        <v>163566.82468805896</v>
      </c>
      <c r="I133" s="17">
        <v>37303.175311941042</v>
      </c>
      <c r="J133">
        <f t="shared" si="1"/>
        <v>18.570804655718149</v>
      </c>
    </row>
    <row r="134" spans="1:10" x14ac:dyDescent="0.2">
      <c r="A134" s="38">
        <v>129542</v>
      </c>
      <c r="B134" s="39">
        <v>55142</v>
      </c>
      <c r="C134" s="39">
        <v>31152</v>
      </c>
      <c r="D134" s="63">
        <v>104.8</v>
      </c>
      <c r="E134" s="65">
        <v>24704</v>
      </c>
      <c r="G134" s="17">
        <v>106</v>
      </c>
      <c r="H134" s="17">
        <v>197588.44431938487</v>
      </c>
      <c r="I134" s="17">
        <v>11337.555680615129</v>
      </c>
      <c r="J134">
        <f t="shared" si="1"/>
        <v>5.4265891658362913</v>
      </c>
    </row>
    <row r="135" spans="1:10" x14ac:dyDescent="0.2">
      <c r="A135" s="38">
        <v>135671</v>
      </c>
      <c r="B135" s="39">
        <v>57541</v>
      </c>
      <c r="C135" s="39">
        <v>28317</v>
      </c>
      <c r="D135" s="63">
        <v>101.7</v>
      </c>
      <c r="E135" s="65">
        <v>25029</v>
      </c>
      <c r="G135" s="17">
        <v>107</v>
      </c>
      <c r="H135" s="17">
        <v>204863.29727458284</v>
      </c>
      <c r="I135" s="17">
        <v>32007.702725417155</v>
      </c>
      <c r="J135">
        <f t="shared" si="1"/>
        <v>13.512714821745659</v>
      </c>
    </row>
    <row r="136" spans="1:10" x14ac:dyDescent="0.2">
      <c r="A136" s="38">
        <v>143420</v>
      </c>
      <c r="B136" s="39">
        <v>72362</v>
      </c>
      <c r="C136" s="39">
        <v>34138</v>
      </c>
      <c r="D136" s="63">
        <v>99.5</v>
      </c>
      <c r="E136" s="65">
        <v>26560</v>
      </c>
      <c r="G136" s="17">
        <v>108</v>
      </c>
      <c r="H136" s="17">
        <v>196507.86454430042</v>
      </c>
      <c r="I136" s="17">
        <v>44804.135455699579</v>
      </c>
      <c r="J136">
        <f t="shared" si="1"/>
        <v>18.566890770330353</v>
      </c>
    </row>
    <row r="137" spans="1:10" x14ac:dyDescent="0.2">
      <c r="A137" s="38">
        <v>171066</v>
      </c>
      <c r="B137" s="39">
        <v>84564</v>
      </c>
      <c r="C137" s="39">
        <v>29098</v>
      </c>
      <c r="D137" s="63">
        <v>102.2</v>
      </c>
      <c r="E137" s="65">
        <v>23360</v>
      </c>
      <c r="G137" s="17">
        <v>109</v>
      </c>
      <c r="H137" s="17">
        <v>131169.02812053543</v>
      </c>
      <c r="I137" s="17">
        <v>3925.9718794645742</v>
      </c>
      <c r="J137">
        <f t="shared" si="1"/>
        <v>2.9060822972460669</v>
      </c>
    </row>
    <row r="138" spans="1:10" x14ac:dyDescent="0.2">
      <c r="A138" s="38">
        <v>154880</v>
      </c>
      <c r="B138" s="39">
        <v>83296</v>
      </c>
      <c r="C138" s="39">
        <v>28311</v>
      </c>
      <c r="D138" s="63">
        <v>102.8</v>
      </c>
      <c r="E138" s="65">
        <v>25925</v>
      </c>
      <c r="G138" s="17">
        <v>110</v>
      </c>
      <c r="H138" s="17">
        <v>164540.54561526267</v>
      </c>
      <c r="I138" s="17">
        <v>-6531.5456152626721</v>
      </c>
      <c r="J138">
        <f t="shared" si="1"/>
        <v>4.1336541685996826</v>
      </c>
    </row>
    <row r="139" spans="1:10" x14ac:dyDescent="0.2">
      <c r="A139" s="38">
        <v>177728</v>
      </c>
      <c r="B139" s="39">
        <v>96072</v>
      </c>
      <c r="C139" s="39">
        <v>38514</v>
      </c>
      <c r="D139" s="63">
        <v>102.2</v>
      </c>
      <c r="E139" s="65">
        <v>24795</v>
      </c>
      <c r="G139" s="17">
        <v>111</v>
      </c>
      <c r="H139" s="17">
        <v>157099.81807640661</v>
      </c>
      <c r="I139" s="17">
        <v>-428.81807640660554</v>
      </c>
      <c r="J139">
        <f t="shared" si="1"/>
        <v>0.27370609519732786</v>
      </c>
    </row>
    <row r="140" spans="1:10" x14ac:dyDescent="0.2">
      <c r="A140" s="38">
        <v>175248</v>
      </c>
      <c r="B140" s="39">
        <v>70037</v>
      </c>
      <c r="C140" s="39">
        <v>40640</v>
      </c>
      <c r="D140" s="63">
        <v>102.6</v>
      </c>
      <c r="E140" s="65">
        <v>26275</v>
      </c>
      <c r="G140" s="17">
        <v>112</v>
      </c>
      <c r="H140" s="17">
        <v>159596.69705340551</v>
      </c>
      <c r="I140" s="17">
        <v>955.30294659448555</v>
      </c>
      <c r="J140">
        <f t="shared" si="1"/>
        <v>0.59501155176795406</v>
      </c>
    </row>
    <row r="141" spans="1:10" x14ac:dyDescent="0.2">
      <c r="A141" s="38">
        <v>204081</v>
      </c>
      <c r="B141" s="39">
        <v>102669</v>
      </c>
      <c r="C141" s="39">
        <v>41223</v>
      </c>
      <c r="D141" s="63">
        <v>93.1</v>
      </c>
      <c r="E141" s="65">
        <v>26152</v>
      </c>
      <c r="G141" s="17">
        <v>113</v>
      </c>
      <c r="H141" s="17">
        <v>170533.93862243203</v>
      </c>
      <c r="I141" s="17">
        <v>16485.061377567967</v>
      </c>
      <c r="J141">
        <f t="shared" si="1"/>
        <v>8.8146452379533446</v>
      </c>
    </row>
    <row r="142" spans="1:10" x14ac:dyDescent="0.2">
      <c r="A142" s="38">
        <v>243236</v>
      </c>
      <c r="B142" s="39">
        <v>104695</v>
      </c>
      <c r="C142" s="39">
        <v>61896</v>
      </c>
      <c r="D142" s="63">
        <v>102.9</v>
      </c>
      <c r="E142" s="65">
        <v>28671</v>
      </c>
      <c r="G142" s="17">
        <v>114</v>
      </c>
      <c r="H142" s="17">
        <v>217212.86142268911</v>
      </c>
      <c r="I142" s="17">
        <v>4790.1385773108923</v>
      </c>
      <c r="J142">
        <f t="shared" si="1"/>
        <v>2.1576909218843405</v>
      </c>
    </row>
    <row r="143" spans="1:10" x14ac:dyDescent="0.2">
      <c r="A143" s="38">
        <v>287547</v>
      </c>
      <c r="B143" s="39">
        <v>148669</v>
      </c>
      <c r="C143" s="39">
        <v>63329</v>
      </c>
      <c r="D143" s="63">
        <v>103.5</v>
      </c>
      <c r="E143" s="65">
        <v>25837</v>
      </c>
      <c r="G143" s="17">
        <v>115</v>
      </c>
      <c r="H143" s="17">
        <v>200150.30240767705</v>
      </c>
      <c r="I143" s="17">
        <v>29119.697592322947</v>
      </c>
      <c r="J143">
        <f t="shared" si="1"/>
        <v>12.701050112235768</v>
      </c>
    </row>
    <row r="144" spans="1:10" x14ac:dyDescent="0.2">
      <c r="A144" s="38">
        <v>299102</v>
      </c>
      <c r="B144" s="39">
        <v>161202</v>
      </c>
      <c r="C144" s="39">
        <v>52399</v>
      </c>
      <c r="D144" s="63">
        <v>101.2</v>
      </c>
      <c r="E144" s="65">
        <v>27873</v>
      </c>
      <c r="G144" s="17">
        <v>116</v>
      </c>
      <c r="H144" s="17">
        <v>202489.79979443361</v>
      </c>
      <c r="I144" s="17">
        <v>38706.200205566391</v>
      </c>
      <c r="J144">
        <f t="shared" si="1"/>
        <v>16.047612815123962</v>
      </c>
    </row>
    <row r="145" spans="1:10" x14ac:dyDescent="0.2">
      <c r="A145" s="38">
        <v>284955</v>
      </c>
      <c r="B145" s="39">
        <v>115558</v>
      </c>
      <c r="C145" s="39">
        <v>77080</v>
      </c>
      <c r="D145" s="63">
        <v>104.8</v>
      </c>
      <c r="E145" s="65">
        <v>28178</v>
      </c>
      <c r="G145" s="17">
        <v>117</v>
      </c>
      <c r="H145" s="17">
        <v>249229.54097375323</v>
      </c>
      <c r="I145" s="17">
        <v>13857.459026246768</v>
      </c>
      <c r="J145">
        <f t="shared" si="1"/>
        <v>5.2672534280472885</v>
      </c>
    </row>
    <row r="146" spans="1:10" x14ac:dyDescent="0.2">
      <c r="A146" s="38">
        <v>127834</v>
      </c>
      <c r="B146" s="39">
        <v>51726</v>
      </c>
      <c r="C146" s="39">
        <v>68778</v>
      </c>
      <c r="D146" s="63">
        <v>104.9</v>
      </c>
      <c r="E146" s="65">
        <v>52985</v>
      </c>
      <c r="G146" s="17">
        <v>118</v>
      </c>
      <c r="H146" s="17">
        <v>235371.32905662261</v>
      </c>
      <c r="I146" s="17">
        <v>52678.670943377394</v>
      </c>
      <c r="J146">
        <f t="shared" si="1"/>
        <v>18.288030183432529</v>
      </c>
    </row>
    <row r="147" spans="1:10" x14ac:dyDescent="0.2">
      <c r="A147" s="38">
        <v>151303</v>
      </c>
      <c r="B147" s="39">
        <v>47179</v>
      </c>
      <c r="C147" s="39">
        <v>84045</v>
      </c>
      <c r="D147" s="63">
        <v>104.4</v>
      </c>
      <c r="E147" s="65">
        <v>61112</v>
      </c>
      <c r="G147" s="17">
        <v>119</v>
      </c>
      <c r="H147" s="17">
        <v>320834.54824720405</v>
      </c>
      <c r="I147" s="17">
        <v>3881.4517527959542</v>
      </c>
      <c r="J147">
        <f t="shared" si="1"/>
        <v>1.1953373879931861</v>
      </c>
    </row>
    <row r="148" spans="1:10" x14ac:dyDescent="0.2">
      <c r="A148" s="38">
        <v>160294</v>
      </c>
      <c r="B148" s="39">
        <v>53984</v>
      </c>
      <c r="C148" s="39">
        <v>55200</v>
      </c>
      <c r="D148" s="63">
        <v>102</v>
      </c>
      <c r="E148" s="65">
        <v>60468</v>
      </c>
      <c r="G148" s="17">
        <v>120</v>
      </c>
      <c r="H148" s="17">
        <v>248330.59728848451</v>
      </c>
      <c r="I148" s="17">
        <v>56331.40271151549</v>
      </c>
      <c r="J148">
        <f t="shared" si="1"/>
        <v>18.489802703164653</v>
      </c>
    </row>
    <row r="149" spans="1:10" x14ac:dyDescent="0.2">
      <c r="A149" s="38">
        <v>169487</v>
      </c>
      <c r="B149" s="39">
        <v>80066</v>
      </c>
      <c r="C149" s="39">
        <v>49118</v>
      </c>
      <c r="D149" s="63">
        <v>104</v>
      </c>
      <c r="E149" s="65">
        <v>63440</v>
      </c>
      <c r="G149" s="17">
        <v>121</v>
      </c>
      <c r="H149" s="17">
        <v>203934.58853177854</v>
      </c>
      <c r="I149" s="17">
        <v>-10051.588531778543</v>
      </c>
      <c r="J149">
        <f t="shared" si="1"/>
        <v>5.1843578507546013</v>
      </c>
    </row>
    <row r="150" spans="1:10" x14ac:dyDescent="0.2">
      <c r="A150" s="38">
        <v>199184</v>
      </c>
      <c r="B150" s="39">
        <v>88806</v>
      </c>
      <c r="C150" s="39">
        <v>66131</v>
      </c>
      <c r="D150" s="63">
        <v>105.4</v>
      </c>
      <c r="E150" s="65">
        <v>65401</v>
      </c>
      <c r="G150" s="17">
        <v>122</v>
      </c>
      <c r="H150" s="17">
        <v>227422.91498169216</v>
      </c>
      <c r="I150" s="17">
        <v>-15238.914981692156</v>
      </c>
      <c r="J150">
        <f t="shared" si="1"/>
        <v>7.1819340674566208</v>
      </c>
    </row>
    <row r="151" spans="1:10" x14ac:dyDescent="0.2">
      <c r="A151" s="38">
        <v>204164</v>
      </c>
      <c r="B151" s="39">
        <v>94664</v>
      </c>
      <c r="C151" s="39">
        <v>82101</v>
      </c>
      <c r="D151" s="63">
        <v>100.1</v>
      </c>
      <c r="E151" s="65">
        <v>70123</v>
      </c>
      <c r="G151" s="17">
        <v>123</v>
      </c>
      <c r="H151" s="17">
        <v>229314.29956851481</v>
      </c>
      <c r="I151" s="17">
        <v>-14489.299568514805</v>
      </c>
      <c r="J151">
        <f t="shared" si="1"/>
        <v>6.7446989728917979</v>
      </c>
    </row>
    <row r="152" spans="1:10" x14ac:dyDescent="0.2">
      <c r="A152" s="38">
        <v>191739</v>
      </c>
      <c r="B152" s="39">
        <v>103846</v>
      </c>
      <c r="C152" s="39">
        <v>92769</v>
      </c>
      <c r="D152" s="63">
        <v>97.4</v>
      </c>
      <c r="E152" s="65">
        <v>65545</v>
      </c>
      <c r="G152" s="17">
        <v>124</v>
      </c>
      <c r="H152" s="17">
        <v>289100.43813206733</v>
      </c>
      <c r="I152" s="17">
        <v>-65394.438132067327</v>
      </c>
      <c r="J152">
        <f t="shared" si="1"/>
        <v>29.232313005492621</v>
      </c>
    </row>
    <row r="153" spans="1:10" x14ac:dyDescent="0.2">
      <c r="A153" s="38">
        <v>220930</v>
      </c>
      <c r="B153" s="39">
        <v>108418</v>
      </c>
      <c r="C153" s="39">
        <v>112563</v>
      </c>
      <c r="D153" s="63">
        <v>100.4</v>
      </c>
      <c r="E153" s="65">
        <v>57625</v>
      </c>
      <c r="G153" s="17">
        <v>125</v>
      </c>
      <c r="H153" s="17">
        <v>294957.55884742609</v>
      </c>
      <c r="I153" s="17">
        <v>-45211.558847426088</v>
      </c>
      <c r="J153">
        <f t="shared" si="1"/>
        <v>18.103016203433121</v>
      </c>
    </row>
    <row r="154" spans="1:10" x14ac:dyDescent="0.2">
      <c r="A154" s="38">
        <v>254850</v>
      </c>
      <c r="B154" s="39">
        <v>114116</v>
      </c>
      <c r="C154" s="39">
        <v>98381</v>
      </c>
      <c r="D154" s="63">
        <v>103.5</v>
      </c>
      <c r="E154" s="65">
        <v>64694</v>
      </c>
      <c r="G154" s="17">
        <v>126</v>
      </c>
      <c r="H154" s="17">
        <v>299128.99702575774</v>
      </c>
      <c r="I154" s="17">
        <v>-24307.997025757737</v>
      </c>
      <c r="J154">
        <f t="shared" si="1"/>
        <v>8.8450289554865673</v>
      </c>
    </row>
    <row r="155" spans="1:10" x14ac:dyDescent="0.2">
      <c r="A155" s="38">
        <v>266878</v>
      </c>
      <c r="B155" s="39">
        <v>104839</v>
      </c>
      <c r="C155" s="39">
        <v>133185</v>
      </c>
      <c r="D155" s="63">
        <v>104.3</v>
      </c>
      <c r="E155" s="65">
        <v>78871</v>
      </c>
      <c r="G155" s="17">
        <v>127</v>
      </c>
      <c r="H155" s="17">
        <v>304392.86528423167</v>
      </c>
      <c r="I155" s="17">
        <v>-24719.865284231666</v>
      </c>
      <c r="J155">
        <f t="shared" si="1"/>
        <v>8.8388458250283968</v>
      </c>
    </row>
    <row r="156" spans="1:10" x14ac:dyDescent="0.2">
      <c r="A156" s="38">
        <v>247952</v>
      </c>
      <c r="B156" s="39">
        <v>117272</v>
      </c>
      <c r="C156" s="39">
        <v>106974</v>
      </c>
      <c r="D156" s="63">
        <v>101.1</v>
      </c>
      <c r="E156" s="65">
        <v>63457</v>
      </c>
      <c r="G156" s="17">
        <v>128</v>
      </c>
      <c r="H156" s="17">
        <v>299589.76044252556</v>
      </c>
      <c r="I156" s="17">
        <v>346.23955747444415</v>
      </c>
      <c r="J156">
        <f t="shared" si="1"/>
        <v>0.11543781255816045</v>
      </c>
    </row>
    <row r="157" spans="1:10" x14ac:dyDescent="0.2">
      <c r="A157" s="38">
        <v>300913</v>
      </c>
      <c r="B157" s="39">
        <v>133241</v>
      </c>
      <c r="C157" s="39">
        <v>128744</v>
      </c>
      <c r="D157" s="63">
        <v>101.7</v>
      </c>
      <c r="E157" s="65">
        <v>64635</v>
      </c>
      <c r="G157" s="17">
        <v>129</v>
      </c>
      <c r="H157" s="17">
        <v>340845.63027384953</v>
      </c>
      <c r="I157" s="17">
        <v>-12604.630273849529</v>
      </c>
      <c r="J157">
        <f t="shared" si="1"/>
        <v>3.8400535807073242</v>
      </c>
    </row>
    <row r="158" spans="1:10" x14ac:dyDescent="0.2">
      <c r="A158" s="38">
        <v>143881</v>
      </c>
      <c r="B158" s="39">
        <v>57169</v>
      </c>
      <c r="C158" s="39">
        <v>77226</v>
      </c>
      <c r="D158" s="63">
        <v>102.2</v>
      </c>
      <c r="E158" s="65">
        <v>73493</v>
      </c>
      <c r="G158" s="17">
        <v>130</v>
      </c>
      <c r="H158" s="17">
        <v>425137.29172385647</v>
      </c>
      <c r="I158" s="17">
        <v>-49737.29172385647</v>
      </c>
      <c r="J158">
        <f t="shared" ref="J158:J196" si="2">ABS((A131-H158)/A131)*100</f>
        <v>13.249145371299006</v>
      </c>
    </row>
    <row r="159" spans="1:10" x14ac:dyDescent="0.2">
      <c r="A159" s="38">
        <v>145268</v>
      </c>
      <c r="B159" s="39">
        <v>66689</v>
      </c>
      <c r="C159" s="39">
        <v>109230</v>
      </c>
      <c r="D159" s="63">
        <v>103.2</v>
      </c>
      <c r="E159" s="65">
        <v>78676</v>
      </c>
      <c r="G159" s="17">
        <v>131</v>
      </c>
      <c r="H159" s="17">
        <v>408172.14898536331</v>
      </c>
      <c r="I159" s="17">
        <v>-30361.14898536331</v>
      </c>
      <c r="J159">
        <f t="shared" si="2"/>
        <v>8.0360680301429319</v>
      </c>
    </row>
    <row r="160" spans="1:10" x14ac:dyDescent="0.2">
      <c r="A160" s="38">
        <v>176185</v>
      </c>
      <c r="B160" s="39">
        <v>76945</v>
      </c>
      <c r="C160" s="39">
        <v>105704</v>
      </c>
      <c r="D160" s="63">
        <v>99.3</v>
      </c>
      <c r="E160" s="65">
        <v>85768</v>
      </c>
      <c r="G160" s="17">
        <v>132</v>
      </c>
      <c r="H160" s="17">
        <v>413694.90459316288</v>
      </c>
      <c r="I160" s="17">
        <v>-4129.9045931628789</v>
      </c>
      <c r="J160">
        <f t="shared" si="2"/>
        <v>1.0083636524514739</v>
      </c>
    </row>
    <row r="161" spans="1:10" x14ac:dyDescent="0.2">
      <c r="A161" s="38">
        <v>193746</v>
      </c>
      <c r="B161" s="39">
        <v>93794</v>
      </c>
      <c r="C161" s="39">
        <v>147709</v>
      </c>
      <c r="D161" s="63">
        <v>104.5</v>
      </c>
      <c r="E161" s="65">
        <v>84218</v>
      </c>
      <c r="G161" s="17">
        <v>133</v>
      </c>
      <c r="H161" s="17">
        <v>152839.43547113636</v>
      </c>
      <c r="I161" s="17">
        <v>-23297.435471136356</v>
      </c>
      <c r="J161">
        <f t="shared" si="2"/>
        <v>17.984464861694551</v>
      </c>
    </row>
    <row r="162" spans="1:10" x14ac:dyDescent="0.2">
      <c r="A162" s="38">
        <v>217219</v>
      </c>
      <c r="B162" s="39">
        <v>90675</v>
      </c>
      <c r="C162" s="39">
        <v>133034</v>
      </c>
      <c r="D162" s="63">
        <v>102.7</v>
      </c>
      <c r="E162" s="65">
        <v>93585</v>
      </c>
      <c r="G162" s="17">
        <v>134</v>
      </c>
      <c r="H162" s="17">
        <v>150229.54513756072</v>
      </c>
      <c r="I162" s="17">
        <v>-14558.545137560723</v>
      </c>
      <c r="J162">
        <f t="shared" si="2"/>
        <v>10.730771600091931</v>
      </c>
    </row>
    <row r="163" spans="1:10" x14ac:dyDescent="0.2">
      <c r="A163" s="38">
        <v>218581</v>
      </c>
      <c r="B163" s="39">
        <v>74374</v>
      </c>
      <c r="C163" s="39">
        <v>120917</v>
      </c>
      <c r="D163" s="63">
        <v>99.8</v>
      </c>
      <c r="E163" s="65">
        <v>87674</v>
      </c>
      <c r="G163" s="17">
        <v>135</v>
      </c>
      <c r="H163" s="17">
        <v>167695.61196503547</v>
      </c>
      <c r="I163" s="17">
        <v>-24275.611965035467</v>
      </c>
      <c r="J163">
        <f t="shared" si="2"/>
        <v>16.926238993888905</v>
      </c>
    </row>
    <row r="164" spans="1:10" x14ac:dyDescent="0.2">
      <c r="A164" s="38">
        <v>244750</v>
      </c>
      <c r="B164" s="39">
        <v>104495</v>
      </c>
      <c r="C164" s="39">
        <v>164108</v>
      </c>
      <c r="D164" s="63">
        <v>106.2</v>
      </c>
      <c r="E164" s="65">
        <v>85560</v>
      </c>
      <c r="G164" s="17">
        <v>136</v>
      </c>
      <c r="H164" s="17">
        <v>185034.93439294223</v>
      </c>
      <c r="I164" s="17">
        <v>-13968.934392942232</v>
      </c>
      <c r="J164">
        <f t="shared" si="2"/>
        <v>8.165815762888144</v>
      </c>
    </row>
    <row r="165" spans="1:10" x14ac:dyDescent="0.2">
      <c r="A165" s="38">
        <v>249889</v>
      </c>
      <c r="B165" s="39">
        <v>125279</v>
      </c>
      <c r="C165" s="39">
        <v>137469</v>
      </c>
      <c r="D165" s="63">
        <v>95.5</v>
      </c>
      <c r="E165" s="65">
        <v>84650</v>
      </c>
      <c r="G165" s="17">
        <v>137</v>
      </c>
      <c r="H165" s="17">
        <v>184338.30307563397</v>
      </c>
      <c r="I165" s="17">
        <v>-29458.303075633972</v>
      </c>
      <c r="J165">
        <f t="shared" si="2"/>
        <v>19.020082047800859</v>
      </c>
    </row>
    <row r="166" spans="1:10" x14ac:dyDescent="0.2">
      <c r="A166" s="38">
        <v>262661</v>
      </c>
      <c r="B166" s="39">
        <v>99028</v>
      </c>
      <c r="C166" s="39">
        <v>275436</v>
      </c>
      <c r="D166" s="63">
        <v>99.2</v>
      </c>
      <c r="E166" s="65">
        <v>79569</v>
      </c>
      <c r="G166" s="17">
        <v>138</v>
      </c>
      <c r="H166" s="17">
        <v>202889.81195013761</v>
      </c>
      <c r="I166" s="17">
        <v>-25161.811950137606</v>
      </c>
      <c r="J166">
        <f t="shared" si="2"/>
        <v>14.157483317281242</v>
      </c>
    </row>
    <row r="167" spans="1:10" x14ac:dyDescent="0.2">
      <c r="A167" s="38">
        <v>297224</v>
      </c>
      <c r="B167" s="39">
        <v>122281</v>
      </c>
      <c r="C167" s="39">
        <v>222284</v>
      </c>
      <c r="D167" s="63">
        <v>101.5</v>
      </c>
      <c r="E167" s="65">
        <v>91322</v>
      </c>
      <c r="G167" s="17">
        <v>139</v>
      </c>
      <c r="H167" s="17">
        <v>171667.97423598685</v>
      </c>
      <c r="I167" s="17">
        <v>3580.0257640131458</v>
      </c>
      <c r="J167">
        <f t="shared" si="2"/>
        <v>2.0428340203672199</v>
      </c>
    </row>
    <row r="168" spans="1:10" x14ac:dyDescent="0.2">
      <c r="A168" s="38">
        <v>334222</v>
      </c>
      <c r="B168" s="39">
        <v>162971</v>
      </c>
      <c r="C168" s="39">
        <v>226387</v>
      </c>
      <c r="D168" s="63">
        <v>96.9</v>
      </c>
      <c r="E168" s="65">
        <v>92128</v>
      </c>
      <c r="G168" s="17">
        <v>140</v>
      </c>
      <c r="H168" s="17">
        <v>198516.96775866312</v>
      </c>
      <c r="I168" s="17">
        <v>5564.0322413368849</v>
      </c>
      <c r="J168">
        <f t="shared" si="2"/>
        <v>2.726384250046249</v>
      </c>
    </row>
    <row r="169" spans="1:10" ht="17" thickBot="1" x14ac:dyDescent="0.25">
      <c r="A169" s="51">
        <v>356606</v>
      </c>
      <c r="B169" s="52">
        <v>172911</v>
      </c>
      <c r="C169" s="52">
        <v>267491</v>
      </c>
      <c r="D169" s="64">
        <v>104.3</v>
      </c>
      <c r="E169" s="66">
        <v>89870</v>
      </c>
      <c r="G169" s="17">
        <v>141</v>
      </c>
      <c r="H169" s="17">
        <v>223245.63779859172</v>
      </c>
      <c r="I169" s="17">
        <v>19990.362201408279</v>
      </c>
      <c r="J169">
        <f t="shared" si="2"/>
        <v>8.2185047449424751</v>
      </c>
    </row>
    <row r="170" spans="1:10" x14ac:dyDescent="0.2">
      <c r="A170" s="54"/>
      <c r="B170" s="54"/>
      <c r="C170" s="54"/>
      <c r="D170" s="54"/>
      <c r="G170" s="17">
        <v>142</v>
      </c>
      <c r="H170" s="17">
        <v>279605.16414490697</v>
      </c>
      <c r="I170" s="17">
        <v>7941.8358550930279</v>
      </c>
      <c r="J170">
        <f t="shared" si="2"/>
        <v>2.7619261738404601</v>
      </c>
    </row>
    <row r="171" spans="1:10" x14ac:dyDescent="0.2">
      <c r="A171" s="54"/>
      <c r="B171" s="54"/>
      <c r="C171" s="54"/>
      <c r="D171" s="54"/>
      <c r="G171" s="17">
        <v>143</v>
      </c>
      <c r="H171" s="17">
        <v>288316.88539519545</v>
      </c>
      <c r="I171" s="17">
        <v>10785.114604804548</v>
      </c>
      <c r="J171">
        <f t="shared" si="2"/>
        <v>3.6058316576968887</v>
      </c>
    </row>
    <row r="172" spans="1:10" x14ac:dyDescent="0.2">
      <c r="A172" s="54"/>
      <c r="B172" s="54"/>
      <c r="C172" s="54"/>
      <c r="D172" s="54"/>
      <c r="G172" s="17">
        <v>144</v>
      </c>
      <c r="H172" s="17">
        <v>244951.02127974096</v>
      </c>
      <c r="I172" s="17">
        <v>40003.978720259038</v>
      </c>
      <c r="J172">
        <f t="shared" si="2"/>
        <v>14.03870039839941</v>
      </c>
    </row>
    <row r="173" spans="1:10" x14ac:dyDescent="0.2">
      <c r="A173" s="54"/>
      <c r="B173" s="54"/>
      <c r="C173" s="54"/>
      <c r="D173" s="54"/>
      <c r="G173" s="17">
        <v>145</v>
      </c>
      <c r="H173" s="17">
        <v>164576.29402964431</v>
      </c>
      <c r="I173" s="17">
        <v>-36742.294029644312</v>
      </c>
      <c r="J173">
        <f t="shared" si="2"/>
        <v>28.742192241222455</v>
      </c>
    </row>
    <row r="174" spans="1:10" x14ac:dyDescent="0.2">
      <c r="A174" s="54"/>
      <c r="B174" s="54"/>
      <c r="C174" s="54"/>
      <c r="D174" s="54"/>
      <c r="G174" s="17">
        <v>146</v>
      </c>
      <c r="H174" s="17">
        <v>164208.64409622311</v>
      </c>
      <c r="I174" s="17">
        <v>-12905.644096223114</v>
      </c>
      <c r="J174">
        <f t="shared" si="2"/>
        <v>8.5296683451240973</v>
      </c>
    </row>
    <row r="175" spans="1:10" x14ac:dyDescent="0.2">
      <c r="A175" s="54"/>
      <c r="B175" s="54"/>
      <c r="C175" s="54"/>
      <c r="D175" s="54"/>
      <c r="G175" s="17">
        <v>147</v>
      </c>
      <c r="H175" s="17">
        <v>159116.38600821173</v>
      </c>
      <c r="I175" s="17">
        <v>1177.6139917882683</v>
      </c>
      <c r="J175">
        <f t="shared" si="2"/>
        <v>0.73465880930556871</v>
      </c>
    </row>
    <row r="176" spans="1:10" x14ac:dyDescent="0.2">
      <c r="A176" s="54"/>
      <c r="B176" s="54"/>
      <c r="C176" s="54"/>
      <c r="D176" s="54"/>
      <c r="G176" s="17">
        <v>148</v>
      </c>
      <c r="H176" s="17">
        <v>193110.13223813209</v>
      </c>
      <c r="I176" s="17">
        <v>-23623.132238132093</v>
      </c>
      <c r="J176">
        <f t="shared" si="2"/>
        <v>13.938020165636358</v>
      </c>
    </row>
    <row r="177" spans="1:10" x14ac:dyDescent="0.2">
      <c r="A177" s="54"/>
      <c r="B177" s="54"/>
      <c r="C177" s="54"/>
      <c r="D177" s="54"/>
      <c r="G177" s="17">
        <v>149</v>
      </c>
      <c r="H177" s="17">
        <v>212275.73920960209</v>
      </c>
      <c r="I177" s="17">
        <v>-13091.739209602092</v>
      </c>
      <c r="J177">
        <f t="shared" si="2"/>
        <v>6.5726861643515999</v>
      </c>
    </row>
    <row r="178" spans="1:10" x14ac:dyDescent="0.2">
      <c r="A178" s="54"/>
      <c r="B178" s="54"/>
      <c r="C178" s="54"/>
      <c r="D178" s="54"/>
      <c r="G178" s="17">
        <v>150</v>
      </c>
      <c r="H178" s="17">
        <v>217630.34683297877</v>
      </c>
      <c r="I178" s="17">
        <v>-13466.346832978772</v>
      </c>
      <c r="J178">
        <f t="shared" si="2"/>
        <v>6.5958478639617031</v>
      </c>
    </row>
    <row r="179" spans="1:10" x14ac:dyDescent="0.2">
      <c r="A179" s="54"/>
      <c r="B179" s="54"/>
      <c r="C179" s="54"/>
      <c r="D179" s="54"/>
      <c r="G179" s="17">
        <v>151</v>
      </c>
      <c r="H179" s="17">
        <v>228304.32682219634</v>
      </c>
      <c r="I179" s="17">
        <v>-36565.326822196337</v>
      </c>
      <c r="J179">
        <f t="shared" si="2"/>
        <v>19.070364830418608</v>
      </c>
    </row>
    <row r="180" spans="1:10" x14ac:dyDescent="0.2">
      <c r="A180" s="54"/>
      <c r="B180" s="54"/>
      <c r="C180" s="54"/>
      <c r="D180" s="54"/>
      <c r="G180" s="17">
        <v>152</v>
      </c>
      <c r="H180" s="17">
        <v>244596.75009572899</v>
      </c>
      <c r="I180" s="17">
        <v>-23666.750095728989</v>
      </c>
      <c r="J180">
        <f t="shared" si="2"/>
        <v>10.712329740519163</v>
      </c>
    </row>
    <row r="181" spans="1:10" x14ac:dyDescent="0.2">
      <c r="A181" s="54"/>
      <c r="B181" s="54"/>
      <c r="C181" s="54"/>
      <c r="D181" s="54"/>
      <c r="G181" s="17">
        <v>153</v>
      </c>
      <c r="H181" s="17">
        <v>252264.18966996489</v>
      </c>
      <c r="I181" s="17">
        <v>2585.8103300351067</v>
      </c>
      <c r="J181">
        <f t="shared" si="2"/>
        <v>1.0146401138062022</v>
      </c>
    </row>
    <row r="182" spans="1:10" x14ac:dyDescent="0.2">
      <c r="A182" s="54"/>
      <c r="B182" s="54"/>
      <c r="C182" s="54"/>
      <c r="D182" s="54"/>
      <c r="G182" s="17">
        <v>154</v>
      </c>
      <c r="H182" s="17">
        <v>255276.7479624234</v>
      </c>
      <c r="I182" s="17">
        <v>11601.252037576603</v>
      </c>
      <c r="J182">
        <f t="shared" si="2"/>
        <v>4.3470244971772134</v>
      </c>
    </row>
    <row r="183" spans="1:10" x14ac:dyDescent="0.2">
      <c r="A183" s="54"/>
      <c r="B183" s="54"/>
      <c r="C183" s="54"/>
      <c r="D183" s="54"/>
      <c r="G183" s="17">
        <v>155</v>
      </c>
      <c r="H183" s="17">
        <v>255445.67449522129</v>
      </c>
      <c r="I183" s="17">
        <v>-7493.6744952212903</v>
      </c>
      <c r="J183">
        <f t="shared" si="2"/>
        <v>3.0222278889548337</v>
      </c>
    </row>
    <row r="184" spans="1:10" x14ac:dyDescent="0.2">
      <c r="A184" s="54"/>
      <c r="B184" s="54"/>
      <c r="C184" s="54"/>
      <c r="D184" s="54"/>
      <c r="G184" s="17">
        <v>156</v>
      </c>
      <c r="H184" s="17">
        <v>284047.81693542923</v>
      </c>
      <c r="I184" s="17">
        <v>16865.183064570767</v>
      </c>
      <c r="J184">
        <f t="shared" si="2"/>
        <v>5.6046708067018596</v>
      </c>
    </row>
    <row r="185" spans="1:10" x14ac:dyDescent="0.2">
      <c r="A185" s="54"/>
      <c r="B185" s="54"/>
      <c r="C185" s="54"/>
      <c r="D185" s="54"/>
      <c r="G185" s="17">
        <v>157</v>
      </c>
      <c r="H185" s="17">
        <v>172353.42975602383</v>
      </c>
      <c r="I185" s="17">
        <v>-28472.429756023834</v>
      </c>
      <c r="J185">
        <f t="shared" si="2"/>
        <v>19.788873969477439</v>
      </c>
    </row>
    <row r="186" spans="1:10" x14ac:dyDescent="0.2">
      <c r="A186" s="54"/>
      <c r="B186" s="54"/>
      <c r="C186" s="54"/>
      <c r="D186" s="54"/>
      <c r="G186" s="17">
        <v>158</v>
      </c>
      <c r="H186" s="17">
        <v>197398.07120879766</v>
      </c>
      <c r="I186" s="17">
        <v>-52130.071208797657</v>
      </c>
      <c r="J186">
        <f t="shared" si="2"/>
        <v>35.885447041879601</v>
      </c>
    </row>
    <row r="187" spans="1:10" x14ac:dyDescent="0.2">
      <c r="A187" s="54"/>
      <c r="B187" s="54"/>
      <c r="C187" s="54"/>
      <c r="D187" s="54"/>
      <c r="G187" s="17">
        <v>159</v>
      </c>
      <c r="H187" s="17">
        <v>203906.3139466336</v>
      </c>
      <c r="I187" s="17">
        <v>-27721.3139466336</v>
      </c>
      <c r="J187">
        <f t="shared" si="2"/>
        <v>15.734207762654936</v>
      </c>
    </row>
    <row r="188" spans="1:10" x14ac:dyDescent="0.2">
      <c r="A188" s="54"/>
      <c r="B188" s="54"/>
      <c r="C188" s="54"/>
      <c r="D188" s="54"/>
      <c r="G188" s="17">
        <v>160</v>
      </c>
      <c r="H188" s="17">
        <v>247260.62333530793</v>
      </c>
      <c r="I188" s="17">
        <v>-53514.62333530793</v>
      </c>
      <c r="J188">
        <f t="shared" si="2"/>
        <v>27.621020994140743</v>
      </c>
    </row>
    <row r="189" spans="1:10" x14ac:dyDescent="0.2">
      <c r="A189" s="54"/>
      <c r="B189" s="54"/>
      <c r="C189" s="54"/>
      <c r="D189" s="54"/>
      <c r="G189" s="17">
        <v>161</v>
      </c>
      <c r="H189" s="17">
        <v>236519.50694334161</v>
      </c>
      <c r="I189" s="17">
        <v>-19300.506943341607</v>
      </c>
      <c r="J189">
        <f t="shared" si="2"/>
        <v>8.8852756634279721</v>
      </c>
    </row>
    <row r="190" spans="1:10" x14ac:dyDescent="0.2">
      <c r="A190" s="54"/>
      <c r="B190" s="54"/>
      <c r="C190" s="54"/>
      <c r="D190" s="54"/>
      <c r="G190" s="17">
        <v>162</v>
      </c>
      <c r="H190" s="17">
        <v>206875.4747652706</v>
      </c>
      <c r="I190" s="17">
        <v>11705.525234729401</v>
      </c>
      <c r="J190">
        <f t="shared" si="2"/>
        <v>5.3552345513696986</v>
      </c>
    </row>
    <row r="191" spans="1:10" x14ac:dyDescent="0.2">
      <c r="A191" s="54"/>
      <c r="B191" s="54"/>
      <c r="C191" s="54"/>
      <c r="D191" s="54"/>
      <c r="G191" s="17">
        <v>163</v>
      </c>
      <c r="H191" s="17">
        <v>269067.63797657168</v>
      </c>
      <c r="I191" s="17">
        <v>-24317.637976571685</v>
      </c>
      <c r="J191">
        <f t="shared" si="2"/>
        <v>9.9357049955349073</v>
      </c>
    </row>
    <row r="192" spans="1:10" x14ac:dyDescent="0.2">
      <c r="A192" s="54"/>
      <c r="B192" s="54"/>
      <c r="C192" s="54"/>
      <c r="D192" s="54"/>
      <c r="G192" s="17">
        <v>164</v>
      </c>
      <c r="H192" s="17">
        <v>269745.18886080658</v>
      </c>
      <c r="I192" s="17">
        <v>-19856.188860806578</v>
      </c>
      <c r="J192">
        <f t="shared" si="2"/>
        <v>7.9460035699076697</v>
      </c>
    </row>
    <row r="193" spans="1:10" x14ac:dyDescent="0.2">
      <c r="A193" s="54"/>
      <c r="B193" s="54"/>
      <c r="C193" s="54"/>
      <c r="D193" s="54"/>
      <c r="G193" s="17">
        <v>165</v>
      </c>
      <c r="H193" s="17">
        <v>289437.32081424381</v>
      </c>
      <c r="I193" s="17">
        <v>-26776.320814243809</v>
      </c>
      <c r="J193">
        <f t="shared" si="2"/>
        <v>10.194250693572251</v>
      </c>
    </row>
    <row r="194" spans="1:10" x14ac:dyDescent="0.2">
      <c r="A194" s="54"/>
      <c r="B194" s="54"/>
      <c r="C194" s="54"/>
      <c r="D194" s="54"/>
      <c r="G194" s="17">
        <v>166</v>
      </c>
      <c r="H194" s="17">
        <v>304985.1440225463</v>
      </c>
      <c r="I194" s="17">
        <v>-7761.1440225463011</v>
      </c>
      <c r="J194">
        <f t="shared" si="2"/>
        <v>2.6112104078224845</v>
      </c>
    </row>
    <row r="195" spans="1:10" x14ac:dyDescent="0.2">
      <c r="A195" s="54"/>
      <c r="B195" s="54"/>
      <c r="C195" s="54"/>
      <c r="D195" s="54"/>
      <c r="G195" s="17">
        <v>167</v>
      </c>
      <c r="H195" s="17">
        <v>350663.83778277208</v>
      </c>
      <c r="I195" s="17">
        <v>-16441.837782772083</v>
      </c>
      <c r="J195">
        <f t="shared" si="2"/>
        <v>4.9194361181406618</v>
      </c>
    </row>
    <row r="196" spans="1:10" ht="17" thickBot="1" x14ac:dyDescent="0.25">
      <c r="G196" s="18">
        <v>168</v>
      </c>
      <c r="H196" s="17">
        <v>388274.80592212785</v>
      </c>
      <c r="I196" s="17">
        <v>-31668.805922127853</v>
      </c>
      <c r="J196">
        <f t="shared" si="2"/>
        <v>8.8806149986617875</v>
      </c>
    </row>
    <row r="197" spans="1:10" ht="17" thickBot="1" x14ac:dyDescent="0.25">
      <c r="H197" s="165" t="s">
        <v>63</v>
      </c>
      <c r="I197" s="166"/>
      <c r="J197" s="73">
        <f>AVERAGE(J29:J196)</f>
        <v>8.9478952246994972</v>
      </c>
    </row>
  </sheetData>
  <mergeCells count="11">
    <mergeCell ref="X24:Y30"/>
    <mergeCell ref="R26:S30"/>
    <mergeCell ref="T26:U30"/>
    <mergeCell ref="V26:W30"/>
    <mergeCell ref="J9:N9"/>
    <mergeCell ref="L24:P24"/>
    <mergeCell ref="H197:I197"/>
    <mergeCell ref="J6:N7"/>
    <mergeCell ref="R31:W32"/>
    <mergeCell ref="R24:S24"/>
    <mergeCell ref="T24:W24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59417A-F9C3-C943-824C-D8A012A01347}">
  <dimension ref="A1:D17"/>
  <sheetViews>
    <sheetView topLeftCell="A6" zoomScale="192" workbookViewId="0">
      <selection activeCell="A14" sqref="A14:D17"/>
    </sheetView>
  </sheetViews>
  <sheetFormatPr baseColWidth="10" defaultRowHeight="16" x14ac:dyDescent="0.2"/>
  <cols>
    <col min="1" max="1" width="29.83203125" bestFit="1" customWidth="1"/>
    <col min="2" max="4" width="18.33203125" bestFit="1" customWidth="1"/>
  </cols>
  <sheetData>
    <row r="1" spans="1:4" ht="17" thickBot="1" x14ac:dyDescent="0.25">
      <c r="A1" s="75" t="s">
        <v>68</v>
      </c>
      <c r="B1" s="84" t="s">
        <v>69</v>
      </c>
      <c r="C1" s="84" t="s">
        <v>70</v>
      </c>
      <c r="D1" s="84" t="s">
        <v>71</v>
      </c>
    </row>
    <row r="2" spans="1:4" x14ac:dyDescent="0.2">
      <c r="A2" s="81" t="s">
        <v>30</v>
      </c>
      <c r="B2" s="85">
        <v>0.85840894400000001</v>
      </c>
      <c r="C2" s="76">
        <v>0.86320038300000002</v>
      </c>
      <c r="D2" s="87">
        <v>0.86869684999999996</v>
      </c>
    </row>
    <row r="3" spans="1:4" x14ac:dyDescent="0.2">
      <c r="A3" s="82" t="s">
        <v>72</v>
      </c>
      <c r="B3" s="86">
        <v>0.85669268899999995</v>
      </c>
      <c r="C3" s="77">
        <v>0.86069795100000002</v>
      </c>
      <c r="D3" s="88">
        <v>0.86547468699999996</v>
      </c>
    </row>
    <row r="4" spans="1:4" x14ac:dyDescent="0.2">
      <c r="A4" s="82" t="s">
        <v>32</v>
      </c>
      <c r="B4" s="86">
        <v>25889.343809999998</v>
      </c>
      <c r="C4" s="77">
        <v>25524.992409999999</v>
      </c>
      <c r="D4" s="88">
        <v>25083.542710000002</v>
      </c>
    </row>
    <row r="5" spans="1:4" x14ac:dyDescent="0.2">
      <c r="A5" s="82" t="s">
        <v>73</v>
      </c>
      <c r="B5" s="79">
        <v>9.2700000000000005E-2</v>
      </c>
      <c r="C5" s="79">
        <v>9.1300000000000006E-2</v>
      </c>
      <c r="D5" s="89">
        <v>8.9499999999999996E-2</v>
      </c>
    </row>
    <row r="6" spans="1:4" x14ac:dyDescent="0.2">
      <c r="A6" s="82" t="s">
        <v>74</v>
      </c>
      <c r="B6" s="78" t="s">
        <v>77</v>
      </c>
      <c r="C6" s="78" t="s">
        <v>80</v>
      </c>
      <c r="D6" s="90" t="s">
        <v>82</v>
      </c>
    </row>
    <row r="7" spans="1:4" x14ac:dyDescent="0.2">
      <c r="A7" s="82" t="s">
        <v>75</v>
      </c>
      <c r="B7" s="78" t="s">
        <v>78</v>
      </c>
      <c r="C7" s="78" t="s">
        <v>81</v>
      </c>
      <c r="D7" s="90" t="s">
        <v>81</v>
      </c>
    </row>
    <row r="8" spans="1:4" ht="17" thickBot="1" x14ac:dyDescent="0.25">
      <c r="A8" s="83" t="s">
        <v>76</v>
      </c>
      <c r="B8" s="80" t="s">
        <v>79</v>
      </c>
      <c r="C8" s="80" t="s">
        <v>79</v>
      </c>
      <c r="D8" s="91" t="s">
        <v>79</v>
      </c>
    </row>
    <row r="9" spans="1:4" ht="17" thickBot="1" x14ac:dyDescent="0.25"/>
    <row r="10" spans="1:4" ht="21" customHeight="1" x14ac:dyDescent="0.2">
      <c r="A10" s="202" t="s">
        <v>86</v>
      </c>
      <c r="B10" s="203"/>
      <c r="C10" s="203"/>
      <c r="D10" s="204"/>
    </row>
    <row r="11" spans="1:4" ht="21" customHeight="1" x14ac:dyDescent="0.2">
      <c r="A11" s="205"/>
      <c r="B11" s="206"/>
      <c r="C11" s="206"/>
      <c r="D11" s="207"/>
    </row>
    <row r="12" spans="1:4" ht="20" customHeight="1" x14ac:dyDescent="0.2">
      <c r="A12" s="205"/>
      <c r="B12" s="206"/>
      <c r="C12" s="206"/>
      <c r="D12" s="207"/>
    </row>
    <row r="13" spans="1:4" ht="25" customHeight="1" thickBot="1" x14ac:dyDescent="0.25">
      <c r="A13" s="208"/>
      <c r="B13" s="209"/>
      <c r="C13" s="209"/>
      <c r="D13" s="210"/>
    </row>
    <row r="14" spans="1:4" x14ac:dyDescent="0.2">
      <c r="A14" s="202" t="s">
        <v>116</v>
      </c>
      <c r="B14" s="203"/>
      <c r="C14" s="203"/>
      <c r="D14" s="204"/>
    </row>
    <row r="15" spans="1:4" x14ac:dyDescent="0.2">
      <c r="A15" s="205"/>
      <c r="B15" s="206"/>
      <c r="C15" s="206"/>
      <c r="D15" s="207"/>
    </row>
    <row r="16" spans="1:4" x14ac:dyDescent="0.2">
      <c r="A16" s="205"/>
      <c r="B16" s="206"/>
      <c r="C16" s="206"/>
      <c r="D16" s="207"/>
    </row>
    <row r="17" spans="1:4" ht="17" thickBot="1" x14ac:dyDescent="0.25">
      <c r="A17" s="208"/>
      <c r="B17" s="209"/>
      <c r="C17" s="209"/>
      <c r="D17" s="210"/>
    </row>
  </sheetData>
  <mergeCells count="2">
    <mergeCell ref="A10:D13"/>
    <mergeCell ref="A14:D17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CF23AF-E8F0-5441-B2F6-E198DBE8AFD3}">
  <dimension ref="A1:G21"/>
  <sheetViews>
    <sheetView tabSelected="1" zoomScale="144" workbookViewId="0">
      <selection activeCell="I18" sqref="I18"/>
    </sheetView>
  </sheetViews>
  <sheetFormatPr baseColWidth="10" defaultRowHeight="16" x14ac:dyDescent="0.2"/>
  <sheetData>
    <row r="1" spans="1:7" ht="17" thickBot="1" x14ac:dyDescent="0.25">
      <c r="A1" s="220" t="s">
        <v>117</v>
      </c>
      <c r="B1" s="221"/>
      <c r="C1" s="221"/>
      <c r="D1" s="221"/>
      <c r="E1" s="221"/>
      <c r="F1" s="221"/>
      <c r="G1" s="222"/>
    </row>
    <row r="2" spans="1:7" ht="16" customHeight="1" x14ac:dyDescent="0.2">
      <c r="A2" s="211" t="s">
        <v>87</v>
      </c>
      <c r="B2" s="212"/>
      <c r="C2" s="212"/>
      <c r="D2" s="212"/>
      <c r="E2" s="212"/>
      <c r="F2" s="212"/>
      <c r="G2" s="213"/>
    </row>
    <row r="3" spans="1:7" x14ac:dyDescent="0.2">
      <c r="A3" s="214"/>
      <c r="B3" s="215"/>
      <c r="C3" s="215"/>
      <c r="D3" s="215"/>
      <c r="E3" s="215"/>
      <c r="F3" s="215"/>
      <c r="G3" s="216"/>
    </row>
    <row r="4" spans="1:7" x14ac:dyDescent="0.2">
      <c r="A4" s="214"/>
      <c r="B4" s="215"/>
      <c r="C4" s="215"/>
      <c r="D4" s="215"/>
      <c r="E4" s="215"/>
      <c r="F4" s="215"/>
      <c r="G4" s="216"/>
    </row>
    <row r="5" spans="1:7" x14ac:dyDescent="0.2">
      <c r="A5" s="214"/>
      <c r="B5" s="215"/>
      <c r="C5" s="215"/>
      <c r="D5" s="215"/>
      <c r="E5" s="215"/>
      <c r="F5" s="215"/>
      <c r="G5" s="216"/>
    </row>
    <row r="6" spans="1:7" x14ac:dyDescent="0.2">
      <c r="A6" s="214"/>
      <c r="B6" s="215"/>
      <c r="C6" s="215"/>
      <c r="D6" s="215"/>
      <c r="E6" s="215"/>
      <c r="F6" s="215"/>
      <c r="G6" s="216"/>
    </row>
    <row r="7" spans="1:7" x14ac:dyDescent="0.2">
      <c r="A7" s="214"/>
      <c r="B7" s="215"/>
      <c r="C7" s="215"/>
      <c r="D7" s="215"/>
      <c r="E7" s="215"/>
      <c r="F7" s="215"/>
      <c r="G7" s="216"/>
    </row>
    <row r="8" spans="1:7" ht="17" thickBot="1" x14ac:dyDescent="0.25">
      <c r="A8" s="214"/>
      <c r="B8" s="215"/>
      <c r="C8" s="215"/>
      <c r="D8" s="215"/>
      <c r="E8" s="215"/>
      <c r="F8" s="215"/>
      <c r="G8" s="216"/>
    </row>
    <row r="9" spans="1:7" ht="17" thickBot="1" x14ac:dyDescent="0.25">
      <c r="A9" s="223" t="s">
        <v>118</v>
      </c>
      <c r="B9" s="224"/>
      <c r="C9" s="224"/>
      <c r="D9" s="224"/>
      <c r="E9" s="224"/>
      <c r="F9" s="224"/>
      <c r="G9" s="225"/>
    </row>
    <row r="10" spans="1:7" ht="16" customHeight="1" x14ac:dyDescent="0.2">
      <c r="A10" s="211" t="s">
        <v>88</v>
      </c>
      <c r="B10" s="212"/>
      <c r="C10" s="212"/>
      <c r="D10" s="212"/>
      <c r="E10" s="212"/>
      <c r="F10" s="212"/>
      <c r="G10" s="213"/>
    </row>
    <row r="11" spans="1:7" x14ac:dyDescent="0.2">
      <c r="A11" s="214"/>
      <c r="B11" s="215"/>
      <c r="C11" s="215"/>
      <c r="D11" s="215"/>
      <c r="E11" s="215"/>
      <c r="F11" s="215"/>
      <c r="G11" s="216"/>
    </row>
    <row r="12" spans="1:7" ht="17" thickBot="1" x14ac:dyDescent="0.25">
      <c r="A12" s="217"/>
      <c r="B12" s="218"/>
      <c r="C12" s="218"/>
      <c r="D12" s="218"/>
      <c r="E12" s="218"/>
      <c r="F12" s="218"/>
      <c r="G12" s="219"/>
    </row>
    <row r="13" spans="1:7" ht="17" thickBot="1" x14ac:dyDescent="0.25">
      <c r="A13" s="223" t="s">
        <v>119</v>
      </c>
      <c r="B13" s="224"/>
      <c r="C13" s="224"/>
      <c r="D13" s="224"/>
      <c r="E13" s="224"/>
      <c r="F13" s="224"/>
      <c r="G13" s="225"/>
    </row>
    <row r="14" spans="1:7" x14ac:dyDescent="0.2">
      <c r="A14" s="211" t="s">
        <v>122</v>
      </c>
      <c r="B14" s="212"/>
      <c r="C14" s="212"/>
      <c r="D14" s="212"/>
      <c r="E14" s="212"/>
      <c r="F14" s="212"/>
      <c r="G14" s="213"/>
    </row>
    <row r="15" spans="1:7" x14ac:dyDescent="0.2">
      <c r="A15" s="214"/>
      <c r="B15" s="215"/>
      <c r="C15" s="215"/>
      <c r="D15" s="215"/>
      <c r="E15" s="215"/>
      <c r="F15" s="215"/>
      <c r="G15" s="216"/>
    </row>
    <row r="16" spans="1:7" ht="17" thickBot="1" x14ac:dyDescent="0.25">
      <c r="A16" s="217"/>
      <c r="B16" s="218"/>
      <c r="C16" s="218"/>
      <c r="D16" s="218"/>
      <c r="E16" s="218"/>
      <c r="F16" s="218"/>
      <c r="G16" s="219"/>
    </row>
    <row r="17" spans="1:7" ht="17" thickBot="1" x14ac:dyDescent="0.25">
      <c r="A17" s="223" t="s">
        <v>120</v>
      </c>
      <c r="B17" s="224"/>
      <c r="C17" s="224"/>
      <c r="D17" s="224"/>
      <c r="E17" s="224"/>
      <c r="F17" s="224"/>
      <c r="G17" s="225"/>
    </row>
    <row r="18" spans="1:7" x14ac:dyDescent="0.2">
      <c r="A18" s="211" t="s">
        <v>121</v>
      </c>
      <c r="B18" s="212"/>
      <c r="C18" s="212"/>
      <c r="D18" s="212"/>
      <c r="E18" s="212"/>
      <c r="F18" s="212"/>
      <c r="G18" s="213"/>
    </row>
    <row r="19" spans="1:7" x14ac:dyDescent="0.2">
      <c r="A19" s="214"/>
      <c r="B19" s="215"/>
      <c r="C19" s="215"/>
      <c r="D19" s="215"/>
      <c r="E19" s="215"/>
      <c r="F19" s="215"/>
      <c r="G19" s="216"/>
    </row>
    <row r="20" spans="1:7" x14ac:dyDescent="0.2">
      <c r="A20" s="214"/>
      <c r="B20" s="215"/>
      <c r="C20" s="215"/>
      <c r="D20" s="215"/>
      <c r="E20" s="215"/>
      <c r="F20" s="215"/>
      <c r="G20" s="216"/>
    </row>
    <row r="21" spans="1:7" ht="31" customHeight="1" thickBot="1" x14ac:dyDescent="0.25">
      <c r="A21" s="217"/>
      <c r="B21" s="218"/>
      <c r="C21" s="218"/>
      <c r="D21" s="218"/>
      <c r="E21" s="218"/>
      <c r="F21" s="218"/>
      <c r="G21" s="219"/>
    </row>
  </sheetData>
  <mergeCells count="8">
    <mergeCell ref="A2:G8"/>
    <mergeCell ref="A10:G12"/>
    <mergeCell ref="A14:G16"/>
    <mergeCell ref="A18:G21"/>
    <mergeCell ref="A1:G1"/>
    <mergeCell ref="A9:G9"/>
    <mergeCell ref="A13:G13"/>
    <mergeCell ref="A17:G1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8</vt:i4>
      </vt:variant>
    </vt:vector>
  </HeadingPairs>
  <TitlesOfParts>
    <vt:vector size="8" baseType="lpstr">
      <vt:lpstr>Датасет</vt:lpstr>
      <vt:lpstr>Цели и задачи</vt:lpstr>
      <vt:lpstr>Корреляционный анализ</vt:lpstr>
      <vt:lpstr>Модель 1</vt:lpstr>
      <vt:lpstr>Модель 2</vt:lpstr>
      <vt:lpstr>Модель 3</vt:lpstr>
      <vt:lpstr>Сравнение</vt:lpstr>
      <vt:lpstr>Выводы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2026-10-16T20:11:37Z</dcterms:created>
  <dcterms:modified xsi:type="dcterms:W3CDTF">2026-10-25T20:13:08Z</dcterms:modified>
</cp:coreProperties>
</file>