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defaultThemeVersion="166925"/>
  <mc:AlternateContent xmlns:mc="http://schemas.openxmlformats.org/markup-compatibility/2006">
    <mc:Choice Requires="x15">
      <x15ac:absPath xmlns:x15ac="http://schemas.microsoft.com/office/spreadsheetml/2010/11/ac" url="/Users/alexandershalbaev/Downloads/"/>
    </mc:Choice>
  </mc:AlternateContent>
  <xr:revisionPtr revIDLastSave="0" documentId="13_ncr:1_{0F965C5C-B869-7F47-A5DE-7DEC3859E08B}" xr6:coauthVersionLast="47" xr6:coauthVersionMax="47" xr10:uidLastSave="{00000000-0000-0000-0000-000000000000}"/>
  <bookViews>
    <workbookView xWindow="0" yWindow="740" windowWidth="29400" windowHeight="17080" xr2:uid="{005B74A9-BD63-8741-A5FC-73346242C1D4}"/>
  </bookViews>
  <sheets>
    <sheet name="Регрессионный анализ" sheetId="1" r:id="rId1"/>
    <sheet name="Выводы"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7" i="1" l="1"/>
  <c r="I27" i="1" s="1"/>
  <c r="H28" i="1"/>
  <c r="I28" i="1" s="1"/>
  <c r="H29" i="1"/>
  <c r="I29" i="1" s="1"/>
  <c r="H30" i="1"/>
  <c r="I30" i="1" s="1"/>
  <c r="H31" i="1"/>
  <c r="I31" i="1" s="1"/>
  <c r="H32" i="1"/>
  <c r="I32" i="1" s="1"/>
  <c r="H33" i="1"/>
  <c r="I33" i="1" s="1"/>
  <c r="H34" i="1"/>
  <c r="I34" i="1" s="1"/>
  <c r="H35" i="1"/>
  <c r="I35" i="1" s="1"/>
  <c r="H36" i="1"/>
  <c r="I36" i="1" s="1"/>
  <c r="H37" i="1"/>
  <c r="I37" i="1" s="1"/>
  <c r="H38" i="1"/>
  <c r="I38" i="1" s="1"/>
  <c r="H39" i="1"/>
  <c r="I39" i="1" s="1"/>
  <c r="H40" i="1"/>
  <c r="I40" i="1" s="1"/>
  <c r="H41" i="1"/>
  <c r="I41" i="1" s="1"/>
  <c r="H42" i="1"/>
  <c r="I42" i="1" s="1"/>
  <c r="H43" i="1"/>
  <c r="I43" i="1" s="1"/>
  <c r="H44" i="1"/>
  <c r="I44" i="1" s="1"/>
  <c r="H45" i="1"/>
  <c r="I45" i="1" s="1"/>
  <c r="H46" i="1"/>
  <c r="I46" i="1" s="1"/>
  <c r="H47" i="1"/>
  <c r="I47" i="1" s="1"/>
  <c r="H48" i="1"/>
  <c r="I48" i="1" s="1"/>
  <c r="H49" i="1"/>
  <c r="I49" i="1" s="1"/>
  <c r="H50" i="1"/>
  <c r="I50" i="1" s="1"/>
  <c r="H51" i="1"/>
  <c r="I51" i="1" s="1"/>
  <c r="H52" i="1"/>
  <c r="I52" i="1" s="1"/>
  <c r="H53" i="1"/>
  <c r="I53" i="1" s="1"/>
  <c r="H54" i="1"/>
  <c r="I54" i="1" s="1"/>
  <c r="H55" i="1"/>
  <c r="I55" i="1" s="1"/>
  <c r="H56" i="1"/>
  <c r="I56" i="1" s="1"/>
  <c r="H57" i="1"/>
  <c r="I57" i="1" s="1"/>
  <c r="H58" i="1"/>
  <c r="I58" i="1" s="1"/>
  <c r="H59" i="1"/>
  <c r="I59" i="1" s="1"/>
  <c r="H60" i="1"/>
  <c r="I60" i="1" s="1"/>
  <c r="H61" i="1"/>
  <c r="I61" i="1" s="1"/>
  <c r="H62" i="1"/>
  <c r="I62" i="1" s="1"/>
  <c r="H63" i="1"/>
  <c r="I63" i="1" s="1"/>
  <c r="H64" i="1"/>
  <c r="I64" i="1" s="1"/>
  <c r="H65" i="1"/>
  <c r="I65" i="1" s="1"/>
  <c r="H66" i="1"/>
  <c r="I66" i="1" s="1"/>
  <c r="H67" i="1"/>
  <c r="I67" i="1" s="1"/>
  <c r="H68" i="1"/>
  <c r="I68" i="1" s="1"/>
  <c r="H69" i="1"/>
  <c r="I69" i="1" s="1"/>
  <c r="H70" i="1"/>
  <c r="I70" i="1" s="1"/>
  <c r="H71" i="1"/>
  <c r="I71" i="1" s="1"/>
  <c r="H72" i="1"/>
  <c r="I72" i="1" s="1"/>
  <c r="H73" i="1"/>
  <c r="I73" i="1" s="1"/>
  <c r="H74" i="1"/>
  <c r="I74" i="1" s="1"/>
  <c r="H75" i="1"/>
  <c r="I75" i="1" s="1"/>
  <c r="H76" i="1"/>
  <c r="I76" i="1" s="1"/>
  <c r="H77" i="1"/>
  <c r="I77" i="1" s="1"/>
  <c r="H78" i="1"/>
  <c r="I78" i="1" s="1"/>
  <c r="H79" i="1"/>
  <c r="I79" i="1" s="1"/>
  <c r="H80" i="1"/>
  <c r="I80" i="1" s="1"/>
  <c r="H81" i="1"/>
  <c r="I81" i="1" s="1"/>
  <c r="H82" i="1"/>
  <c r="I82" i="1" s="1"/>
  <c r="H83" i="1"/>
  <c r="I83" i="1" s="1"/>
  <c r="H84" i="1"/>
  <c r="I84" i="1" s="1"/>
  <c r="H85" i="1"/>
  <c r="I85" i="1" s="1"/>
  <c r="H86" i="1"/>
  <c r="I86" i="1" s="1"/>
  <c r="H87" i="1"/>
  <c r="I87" i="1" s="1"/>
  <c r="H88" i="1"/>
  <c r="I88" i="1" s="1"/>
  <c r="H89" i="1"/>
  <c r="I89" i="1" s="1"/>
  <c r="H90" i="1"/>
  <c r="I90" i="1" s="1"/>
  <c r="H91" i="1"/>
  <c r="I91" i="1" s="1"/>
  <c r="H92" i="1"/>
  <c r="I92" i="1" s="1"/>
  <c r="H93" i="1"/>
  <c r="I93" i="1" s="1"/>
  <c r="H94" i="1"/>
  <c r="I94" i="1" s="1"/>
  <c r="H95" i="1"/>
  <c r="I95" i="1" s="1"/>
  <c r="H96" i="1"/>
  <c r="I96" i="1" s="1"/>
  <c r="H97" i="1"/>
  <c r="I97" i="1" s="1"/>
  <c r="H98" i="1"/>
  <c r="I98" i="1" s="1"/>
  <c r="H99" i="1"/>
  <c r="I99" i="1" s="1"/>
  <c r="H100" i="1"/>
  <c r="I100" i="1" s="1"/>
  <c r="H101" i="1"/>
  <c r="I101" i="1" s="1"/>
  <c r="H102" i="1"/>
  <c r="I102" i="1" s="1"/>
  <c r="H103" i="1"/>
  <c r="I103" i="1" s="1"/>
  <c r="H104" i="1"/>
  <c r="I104" i="1" s="1"/>
  <c r="H105" i="1"/>
  <c r="I105" i="1" s="1"/>
  <c r="H106" i="1"/>
  <c r="I106" i="1" s="1"/>
  <c r="H107" i="1"/>
  <c r="I107" i="1" s="1"/>
  <c r="H108" i="1"/>
  <c r="I108" i="1" s="1"/>
  <c r="H109" i="1"/>
  <c r="I109" i="1" s="1"/>
  <c r="H110" i="1"/>
  <c r="I110" i="1" s="1"/>
  <c r="H26" i="1"/>
  <c r="I26" i="1" s="1"/>
  <c r="K21" i="1"/>
  <c r="I21" i="1"/>
  <c r="I11" i="1"/>
  <c r="K11" i="1"/>
  <c r="G6" i="1"/>
  <c r="J26" i="1" l="1"/>
</calcChain>
</file>

<file path=xl/sharedStrings.xml><?xml version="1.0" encoding="utf-8"?>
<sst xmlns="http://schemas.openxmlformats.org/spreadsheetml/2006/main" count="139" uniqueCount="138">
  <si>
    <t>ВЫВОД ИТОГОВ</t>
  </si>
  <si>
    <t>Регрессионная статистика</t>
  </si>
  <si>
    <t>Множественный R</t>
  </si>
  <si>
    <t>R-квадрат</t>
  </si>
  <si>
    <t>Нормированный R-квадрат</t>
  </si>
  <si>
    <t>Стандартная ошибка</t>
  </si>
  <si>
    <t>Наблюдения</t>
  </si>
  <si>
    <t>Дисперсионный анализ</t>
  </si>
  <si>
    <t>Регрессия</t>
  </si>
  <si>
    <t>Остаток</t>
  </si>
  <si>
    <t>Итого</t>
  </si>
  <si>
    <t>Y-пересечение</t>
  </si>
  <si>
    <t>df</t>
  </si>
  <si>
    <t>SS</t>
  </si>
  <si>
    <t>MS</t>
  </si>
  <si>
    <t>F</t>
  </si>
  <si>
    <t>Значимость F</t>
  </si>
  <si>
    <t>Коэффициенты</t>
  </si>
  <si>
    <t>t-статистика</t>
  </si>
  <si>
    <t>P-Значение</t>
  </si>
  <si>
    <t>Нижние 95%</t>
  </si>
  <si>
    <t>Верхние 95%</t>
  </si>
  <si>
    <t>Нижние 95,0%</t>
  </si>
  <si>
    <t>Верхние 95,0%</t>
  </si>
  <si>
    <t>Переменная X 1</t>
  </si>
  <si>
    <t>ВЫВОД ОСТАТКА</t>
  </si>
  <si>
    <t>Наблюдение</t>
  </si>
  <si>
    <t>Предсказанное Y</t>
  </si>
  <si>
    <t>Остатки</t>
  </si>
  <si>
    <t>&lt;</t>
  </si>
  <si>
    <t>t(факт)</t>
  </si>
  <si>
    <t>t(tab)</t>
  </si>
  <si>
    <t>&gt;</t>
  </si>
  <si>
    <t>Относительная ошибка</t>
  </si>
  <si>
    <t>Средняя ошибка аппроксимации</t>
  </si>
  <si>
    <t>Регион</t>
  </si>
  <si>
    <t>Чукотский автономный округ</t>
  </si>
  <si>
    <t>Ямало-Ненецкий автономный округ</t>
  </si>
  <si>
    <t>г. Москва</t>
  </si>
  <si>
    <t>Магаданская область</t>
  </si>
  <si>
    <t>Ненецкий автономный округ</t>
  </si>
  <si>
    <t>Камчатский край</t>
  </si>
  <si>
    <t>Сахалинская область</t>
  </si>
  <si>
    <t>Республика Саха (Якутия)</t>
  </si>
  <si>
    <t>Ханты-Мансийский автономный округ — Югра</t>
  </si>
  <si>
    <t>Тюменская область</t>
  </si>
  <si>
    <t>Мурманская область</t>
  </si>
  <si>
    <t>г. Санкт-Петербург</t>
  </si>
  <si>
    <t>Московская область</t>
  </si>
  <si>
    <t>Красноярский край</t>
  </si>
  <si>
    <t>Хабаровский край</t>
  </si>
  <si>
    <t>Приморский край</t>
  </si>
  <si>
    <t>Республика Коми</t>
  </si>
  <si>
    <t>Иркутская область</t>
  </si>
  <si>
    <t>Амурская область</t>
  </si>
  <si>
    <t>Архангельская область</t>
  </si>
  <si>
    <t>Забайкальский край</t>
  </si>
  <si>
    <t>Ленинградская область</t>
  </si>
  <si>
    <t>Свердловская область</t>
  </si>
  <si>
    <t>Еврейская автономная область</t>
  </si>
  <si>
    <t>Томская область</t>
  </si>
  <si>
    <t>Кемеровская область — Кузбасс</t>
  </si>
  <si>
    <t>Новосибирская область</t>
  </si>
  <si>
    <t>Республика Татарстан</t>
  </si>
  <si>
    <t>Пермский край</t>
  </si>
  <si>
    <t>Республика Карелия</t>
  </si>
  <si>
    <t>Калужская область</t>
  </si>
  <si>
    <t>Тульская область</t>
  </si>
  <si>
    <t>Республика Бурятия</t>
  </si>
  <si>
    <t>Республика Хакасия</t>
  </si>
  <si>
    <t>Вологодская область</t>
  </si>
  <si>
    <t>Челябинская область</t>
  </si>
  <si>
    <t>Краснодарский край</t>
  </si>
  <si>
    <t>Самарская область</t>
  </si>
  <si>
    <t>Нижегородская область</t>
  </si>
  <si>
    <t>Липецкая область</t>
  </si>
  <si>
    <t>Республика Башкортостан</t>
  </si>
  <si>
    <t>Удмуртская Республика</t>
  </si>
  <si>
    <t>Республика Тыва</t>
  </si>
  <si>
    <t>Калининградская область</t>
  </si>
  <si>
    <t>Ярославская область</t>
  </si>
  <si>
    <t>Белгородская область</t>
  </si>
  <si>
    <t>Омская область</t>
  </si>
  <si>
    <t>Курская область</t>
  </si>
  <si>
    <t>Владимирская область</t>
  </si>
  <si>
    <t>Тверская область</t>
  </si>
  <si>
    <t>Рязанская область</t>
  </si>
  <si>
    <t>Оренбургская область</t>
  </si>
  <si>
    <t>Республика Алтай</t>
  </si>
  <si>
    <t>Воронежская область</t>
  </si>
  <si>
    <t>Курганская область</t>
  </si>
  <si>
    <t>Новгородская область</t>
  </si>
  <si>
    <t>Астраханская область</t>
  </si>
  <si>
    <t>Ростовская область</t>
  </si>
  <si>
    <t>Волгоградская область</t>
  </si>
  <si>
    <t>Республика Марий Эл</t>
  </si>
  <si>
    <t>Чувашская Республика</t>
  </si>
  <si>
    <t>Смоленская область</t>
  </si>
  <si>
    <t>Ульяновская область</t>
  </si>
  <si>
    <t>Саратовская область</t>
  </si>
  <si>
    <t>Брянская область</t>
  </si>
  <si>
    <t>Кировская область</t>
  </si>
  <si>
    <t>Пензенская область</t>
  </si>
  <si>
    <t>Ставропольский край</t>
  </si>
  <si>
    <t>Республика Мордовия</t>
  </si>
  <si>
    <t>г. Севастополь</t>
  </si>
  <si>
    <t>Костромская область</t>
  </si>
  <si>
    <t>Республика Адыгея</t>
  </si>
  <si>
    <t>Орловская область</t>
  </si>
  <si>
    <t>Республика Крым</t>
  </si>
  <si>
    <t>Алтайский край</t>
  </si>
  <si>
    <t>Тамбовская область</t>
  </si>
  <si>
    <t>Псковская область</t>
  </si>
  <si>
    <t>Ивановская область</t>
  </si>
  <si>
    <t>Республика Калмыкия</t>
  </si>
  <si>
    <t>Карачаево-Черкесская Республика</t>
  </si>
  <si>
    <t>Республика Северная Осетия — Алания</t>
  </si>
  <si>
    <t>Кабардино-Балкарская Республика</t>
  </si>
  <si>
    <t>Республика Дагестан</t>
  </si>
  <si>
    <t>Чеченская Республика</t>
  </si>
  <si>
    <t>Республика Ингушетия</t>
  </si>
  <si>
    <t>Объем платных услуг на душу населения, руб. (X)</t>
  </si>
  <si>
    <t>Среднемесячная номинальная начисленная заработная плата, руб. (Y)</t>
  </si>
  <si>
    <t>Коэффициент детерминации R^2=0,4215 показывает, что на 42,15% вариация среднемесячной номинальной начисленной заработной платы объясняется вариацией объёма платных услуг на душу населения. Остальные 57,85% связаны с прочими неучтёнными факторами.</t>
  </si>
  <si>
    <t xml:space="preserve">С вероятностью 0,95 можно утверждать, что уравнение регрессии значимо. Модель достоверна.				</t>
  </si>
  <si>
    <t xml:space="preserve">С вероятностью 0,95 можно утверждать, что коэффициент b(регрессии) значим.				</t>
  </si>
  <si>
    <t>С вероятностью 0,95 можно утверждать, что коэффициент регрессии в генеральной совокупности находится в интервале от 0,386 до 0,652. При увеличении объёма платных услуг на душу населения на 10 тыс. руб. среднемесячная номинальная начисленная заработная плата увеличится в среднем не менее чем на 3862,23 руб. и не более чем на 6517,19 руб.</t>
  </si>
  <si>
    <t>Уравнение регрессии: y = 28878,29 + 0,52x</t>
  </si>
  <si>
    <t>Свободный член уравнения регрессии 28878,29 показывает, что при условном отсутствии объёма платных услуг на душу населения расчётное значение среднемесячной номинальной начисленной заработной платы составило бы 28 878,29 руб. Однако экономическая интерпретация данного показателя не имеет практического смысла, так как нулевое значение объёма платных услуг не соответствует фактическим значениям рассматриваемой выборки.</t>
  </si>
  <si>
    <t>Коэффициент регрессии 0,52 показывает, что при увеличении объёма платных услуг на душу населения на 1 руб. среднемесячная номинальная начисленная заработная плата в среднем увеличивается на 0,52 руб. Соответственно, при увеличении объёма платных услуг на 10 тыс. руб. заработная плата в среднем увеличивается на 5,2 тыс. руб.</t>
  </si>
  <si>
    <t>Факт. среднемесячная номинальная начисл. заработная плата, руб. (Y)</t>
  </si>
  <si>
    <t xml:space="preserve">В результате проведённого регрессионного анализа была исследована зависимость среднемесячной номинальной начисленной заработной платы от объёма платных услуг на душу населения по 85 субъектам Российской Федерации. Коэффициент регрессии равен 0,52, что свидетельствует о прямой зависимости между рассматриваемыми показателями. При увеличении объёма платных услуг на душу населения на 10 тыс. руб. среднемесячная номинальная начисленная заработная плата в среднем увеличивается примерно на 5,2 тыс. руб. Коэффициент детерминации R^2 = 0,4215 показывает, что 42,15% вариации среднемесячной номинальной начисленной заработной платы объясняется изменением объёма платных услуг на душу населения. Остальные 57,85% вариации связаны с прочими неучёнными факторами. Уравнение регрессии является значимым: фактическое значение F - критерия составляет 60,46, а уровень значимости F равен 1,82·10⁻¹¹, что существенно меньше 0,05. Коэффициент регрессии также статистически значим, поскольку его p-значение составляет 1,82·10⁻¹¹. </t>
  </si>
  <si>
    <t>Средняя ошибка аппроксимации составляет около 18,0%, что характеризует точность модели как умеренную. Следовательно, модель позволяет выявить описать существующую связь между объёмом платных услуг на душу населения и среднемесячной номинальной начисленной заработной платой, однако для точного прогнозирования заработной платы её возможностей недостаточно, так как значительная часть вариации связана с другими факторами.
Таким образом, выдвинутая гипотеза о наличии статистически значимой прямой связи между объёмом платных услуг на душу населения и среднемесячной номинальной начисленной заработной платой подтверждается. Построенная модель может использоваться для анализа характера и направления связи между показателями, а также для ориентировочных расчётов, но её следует дополнять другими факторами для повышения объясняющей и прогнозной способности.</t>
  </si>
  <si>
    <t>Выводы к работе:</t>
  </si>
  <si>
    <t>F(tab)</t>
  </si>
  <si>
    <t>F(факт)</t>
  </si>
  <si>
    <t>Гипотеза исследования: между объёмом платных услуг на душу населения и среднемесячной номинальной начисленной заработной платой работников существует прямая статистически значимая связь: с увеличением объёма платных услуг на душу населения среднемесячная заработная плата в среднем возрастает.</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</si>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</sst>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Calibri"/>
      <family val="2"/>
      <charset val="204"/>
      <scheme val="minor"/>
    </font>
    <font>
      <sz val="12"/>
      <color theme="1"/>
      <name val="Calibri"/>
      <family val="2"/>
      <charset val="204"/>
      <scheme val="minor"/>
    </font>
    <font>
      <sz val="8"/>
      <name val="Calibri"/>
      <family val="2"/>
      <charset val="204"/>
      <scheme val="minor"/>
    </font>
    <font>
      <i/>
      <sz val="12"/>
      <color theme="1"/>
      <name val="Calibri"/>
      <family val="2"/>
      <charset val="204"/>
      <scheme val="minor"/>
    </font>
    <font>
      <sz val="12"/>
      <color rgb="FF000000"/>
      <name val="Calibri"/>
      <family val="2"/>
      <charset val="204"/>
      <scheme val="minor"/>
    </font>
    <font>
      <sz val="11"/>
      <color rgb="FF000000"/>
      <name val="Helvetica Neue"/>
      <family val="2"/>
    </font>
    <font>
      <b/>
      <i/>
      <sz val="12"/>
      <color theme="1"/>
      <name val="Calibri"/>
      <family val="2"/>
      <scheme val="minor"/>
    </font>
    <font>
      <b/>
      <sz val="12"/>
      <color theme="1"/>
      <name val="Calibri"/>
      <family val="2"/>
      <scheme val="minor"/>
    </font>
    <font>
      <sz val="11"/>
      <color rgb="FF000000"/>
      <name val="Times New Roman"/>
      <family val="1"/>
    </font>
    <font>
      <b/>
      <sz val="11"/>
      <name val="Times New Roman"/>
      <family val="1"/>
    </font>
    <font>
      <sz val="12"/>
      <color theme="1"/>
      <name val="Times New Roman"/>
      <family val="1"/>
    </font>
    <font>
      <sz val="10"/>
      <color theme="1"/>
      <name val="Calibri"/>
      <family val="2"/>
      <charset val="204"/>
      <scheme val="minor"/>
    </font>
    <font>
      <b/>
      <sz val="14"/>
      <color theme="1"/>
      <name val="Times New Roman"/>
      <family val="1"/>
    </font>
    <font>
      <b/>
      <sz val="14"/>
      <color rgb="FF000000"/>
      <name val="Times New Roman"/>
      <family val="1"/>
    </font>
    <font>
      <sz val="14"/>
      <color rgb="FF000000"/>
      <name val="-webkit-standard"/>
    </font>
  </fonts>
  <fills count="15">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4" tint="0.59999389629810485"/>
        <bgColor rgb="FF000000"/>
      </patternFill>
    </fill>
    <fill>
      <patternFill patternType="solid">
        <fgColor theme="5" tint="0.59999389629810485"/>
        <bgColor rgb="FF000000"/>
      </patternFill>
    </fill>
    <fill>
      <patternFill patternType="solid">
        <fgColor theme="9" tint="0.59999389629810485"/>
        <bgColor rgb="FF000000"/>
      </patternFill>
    </fill>
    <fill>
      <patternFill patternType="solid">
        <fgColor theme="9" tint="0.39997558519241921"/>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2"/>
        <bgColor indexed="64"/>
      </patternFill>
    </fill>
    <fill>
      <patternFill patternType="solid">
        <fgColor theme="0" tint="-4.9989318521683403E-2"/>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rgb="FF000000"/>
      </right>
      <top style="medium">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95">
    <xf numFmtId="0" fontId="0" fillId="0" borderId="0" xfId="0"/>
    <xf numFmtId="0" fontId="0" fillId="0" borderId="0" xfId="0" applyAlignment="1">
      <alignment wrapText="1"/>
    </xf>
    <xf numFmtId="0" fontId="0" fillId="0" borderId="0" xfId="0" applyAlignment="1">
      <alignment horizontal="center" vertical="center" wrapText="1"/>
    </xf>
    <xf numFmtId="0" fontId="0" fillId="0" borderId="0" xfId="0" applyFill="1" applyBorder="1" applyAlignment="1"/>
    <xf numFmtId="0" fontId="0" fillId="0" borderId="3" xfId="0" applyFill="1" applyBorder="1" applyAlignment="1"/>
    <xf numFmtId="0" fontId="3" fillId="0" borderId="4" xfId="0" applyFont="1" applyFill="1" applyBorder="1" applyAlignment="1">
      <alignment horizontal="center"/>
    </xf>
    <xf numFmtId="0" fontId="3" fillId="0" borderId="4" xfId="0" applyFont="1" applyFill="1" applyBorder="1" applyAlignment="1">
      <alignment horizontal="centerContinuous"/>
    </xf>
    <xf numFmtId="0" fontId="3" fillId="0" borderId="5" xfId="0" applyFont="1" applyFill="1" applyBorder="1" applyAlignment="1">
      <alignment horizontal="center"/>
    </xf>
    <xf numFmtId="0" fontId="0" fillId="2" borderId="11" xfId="0" applyFill="1" applyBorder="1" applyAlignment="1">
      <alignment horizontal="center" vertical="center"/>
    </xf>
    <xf numFmtId="0" fontId="0" fillId="3" borderId="11" xfId="0" applyFill="1" applyBorder="1" applyAlignment="1">
      <alignment horizontal="center" vertical="center"/>
    </xf>
    <xf numFmtId="0" fontId="0" fillId="4" borderId="12" xfId="0" applyFill="1" applyBorder="1" applyAlignment="1">
      <alignment horizontal="center" vertical="center"/>
    </xf>
    <xf numFmtId="0" fontId="0" fillId="3" borderId="10" xfId="0" applyFill="1" applyBorder="1" applyAlignment="1">
      <alignment horizontal="center" vertical="center"/>
    </xf>
    <xf numFmtId="0" fontId="0" fillId="0" borderId="0" xfId="0" applyBorder="1"/>
    <xf numFmtId="0" fontId="0" fillId="5" borderId="1" xfId="0" applyFill="1" applyBorder="1" applyAlignment="1">
      <alignment horizontal="center" vertical="center" wrapText="1"/>
    </xf>
    <xf numFmtId="0" fontId="0" fillId="5" borderId="1" xfId="0" applyFill="1" applyBorder="1"/>
    <xf numFmtId="0" fontId="0" fillId="5" borderId="21" xfId="0" applyFill="1" applyBorder="1"/>
    <xf numFmtId="0" fontId="0" fillId="0" borderId="24" xfId="0" applyBorder="1"/>
    <xf numFmtId="0" fontId="0" fillId="5" borderId="1" xfId="0" applyFill="1" applyBorder="1" applyAlignment="1">
      <alignment vertical="top" wrapText="1"/>
    </xf>
    <xf numFmtId="0" fontId="8" fillId="0" borderId="25" xfId="0" applyFont="1" applyBorder="1" applyAlignment="1">
      <alignment horizontal="left"/>
    </xf>
    <xf numFmtId="0" fontId="8" fillId="0" borderId="10" xfId="0" applyFont="1" applyBorder="1" applyAlignment="1">
      <alignment horizontal="left"/>
    </xf>
    <xf numFmtId="10" fontId="0" fillId="0" borderId="0" xfId="1" applyNumberFormat="1" applyFont="1"/>
    <xf numFmtId="0" fontId="0" fillId="0" borderId="27" xfId="0" applyBorder="1"/>
    <xf numFmtId="0" fontId="9" fillId="0" borderId="28" xfId="0" applyFont="1" applyBorder="1" applyAlignment="1">
      <alignment horizontal="center" vertical="center" wrapText="1"/>
    </xf>
    <xf numFmtId="0" fontId="9" fillId="0" borderId="29" xfId="0" applyFont="1" applyBorder="1" applyAlignment="1">
      <alignment horizontal="center" vertical="center" wrapText="1"/>
    </xf>
    <xf numFmtId="0" fontId="9" fillId="0" borderId="7" xfId="0" applyFont="1" applyBorder="1" applyAlignment="1">
      <alignment horizontal="center" vertical="center" wrapText="1"/>
    </xf>
    <xf numFmtId="0" fontId="8" fillId="0" borderId="1" xfId="0" applyFont="1" applyBorder="1" applyAlignment="1">
      <alignment horizontal="center" vertical="center"/>
    </xf>
    <xf numFmtId="0" fontId="8" fillId="0" borderId="30" xfId="0" applyFont="1" applyBorder="1" applyAlignment="1">
      <alignment horizontal="left"/>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26" xfId="0" applyFont="1" applyBorder="1" applyAlignment="1">
      <alignment horizontal="center" vertical="center"/>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0" fillId="4" borderId="11" xfId="0" applyFill="1" applyBorder="1" applyAlignment="1">
      <alignment horizontal="center" vertical="center"/>
    </xf>
    <xf numFmtId="0" fontId="4" fillId="6" borderId="34" xfId="0" applyFont="1" applyFill="1" applyBorder="1" applyAlignment="1">
      <alignment horizontal="center" vertical="center"/>
    </xf>
    <xf numFmtId="0" fontId="4" fillId="6" borderId="35" xfId="0" applyFont="1" applyFill="1" applyBorder="1" applyAlignment="1">
      <alignment horizontal="center" vertical="center"/>
    </xf>
    <xf numFmtId="0" fontId="4" fillId="7" borderId="35" xfId="0" applyFont="1" applyFill="1" applyBorder="1" applyAlignment="1">
      <alignment horizontal="center" vertical="center"/>
    </xf>
    <xf numFmtId="0" fontId="4" fillId="7" borderId="9" xfId="0" applyFont="1" applyFill="1" applyBorder="1" applyAlignment="1">
      <alignment horizontal="center" vertical="center"/>
    </xf>
    <xf numFmtId="0" fontId="4" fillId="8" borderId="35" xfId="0" applyFont="1" applyFill="1" applyBorder="1" applyAlignment="1">
      <alignment horizontal="center" vertical="center"/>
    </xf>
    <xf numFmtId="0" fontId="0" fillId="5" borderId="22" xfId="0" applyFill="1" applyBorder="1" applyAlignment="1">
      <alignment vertical="top" wrapText="1"/>
    </xf>
    <xf numFmtId="0" fontId="0" fillId="0" borderId="0" xfId="0" applyAlignment="1"/>
    <xf numFmtId="0" fontId="3" fillId="0" borderId="1" xfId="0" applyFont="1" applyFill="1" applyBorder="1" applyAlignment="1">
      <alignment horizontal="center" wrapText="1"/>
    </xf>
    <xf numFmtId="0" fontId="3" fillId="0" borderId="19" xfId="0" applyFont="1" applyFill="1" applyBorder="1" applyAlignment="1">
      <alignment horizontal="center" vertical="center"/>
    </xf>
    <xf numFmtId="0" fontId="6" fillId="11" borderId="20" xfId="0" applyFont="1" applyFill="1" applyBorder="1" applyAlignment="1">
      <alignment horizontal="center" vertical="center"/>
    </xf>
    <xf numFmtId="0" fontId="3" fillId="0" borderId="4" xfId="0" applyFont="1" applyFill="1" applyBorder="1" applyAlignment="1">
      <alignment horizontal="center" vertical="center"/>
    </xf>
    <xf numFmtId="0" fontId="0" fillId="5" borderId="36" xfId="0" applyFill="1" applyBorder="1" applyAlignment="1">
      <alignment vertical="center" wrapText="1"/>
    </xf>
    <xf numFmtId="0" fontId="5" fillId="5" borderId="23" xfId="0" applyFont="1" applyFill="1" applyBorder="1" applyAlignment="1">
      <alignment vertical="top" wrapText="1"/>
    </xf>
    <xf numFmtId="0" fontId="4" fillId="0" borderId="0" xfId="0" applyFont="1" applyAlignment="1">
      <alignment vertical="center" wrapText="1"/>
    </xf>
    <xf numFmtId="0" fontId="13" fillId="0" borderId="0" xfId="0" applyFont="1" applyAlignment="1">
      <alignment vertical="center" wrapText="1"/>
    </xf>
    <xf numFmtId="0" fontId="12" fillId="0" borderId="0" xfId="0" applyFont="1" applyAlignment="1">
      <alignment vertical="center"/>
    </xf>
    <xf numFmtId="2" fontId="7" fillId="0" borderId="20" xfId="0" applyNumberFormat="1" applyFont="1" applyBorder="1" applyAlignment="1">
      <alignment horizontal="center" vertical="center"/>
    </xf>
    <xf numFmtId="0" fontId="4" fillId="0" borderId="0" xfId="0" applyFont="1" applyAlignment="1">
      <alignment wrapText="1"/>
    </xf>
    <xf numFmtId="0" fontId="0" fillId="0" borderId="27" xfId="0" applyBorder="1" applyAlignment="1">
      <alignment horizontal="center" vertical="center" wrapText="1"/>
    </xf>
    <xf numFmtId="0" fontId="7" fillId="0" borderId="0" xfId="0" applyFont="1"/>
    <xf numFmtId="0" fontId="14" fillId="14" borderId="17" xfId="0" applyFont="1" applyFill="1" applyBorder="1" applyAlignment="1">
      <alignment horizontal="center" vertical="center" wrapText="1"/>
    </xf>
    <xf numFmtId="0" fontId="14" fillId="14" borderId="18" xfId="0" applyFont="1" applyFill="1" applyBorder="1" applyAlignment="1">
      <alignment horizontal="center" vertical="center" wrapText="1"/>
    </xf>
    <xf numFmtId="0" fontId="14" fillId="14" borderId="37" xfId="0" applyFont="1" applyFill="1" applyBorder="1" applyAlignment="1">
      <alignment horizontal="center" vertical="center" wrapText="1"/>
    </xf>
    <xf numFmtId="0" fontId="11" fillId="4" borderId="6"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11" fillId="4" borderId="7" xfId="0" applyFont="1" applyFill="1" applyBorder="1" applyAlignment="1">
      <alignment horizontal="center" vertical="center" wrapText="1"/>
    </xf>
    <xf numFmtId="0" fontId="11" fillId="4" borderId="15" xfId="0" applyFont="1" applyFill="1" applyBorder="1" applyAlignment="1">
      <alignment horizontal="center" vertical="center" wrapText="1"/>
    </xf>
    <xf numFmtId="0" fontId="11" fillId="4" borderId="0" xfId="0" applyFont="1" applyFill="1" applyBorder="1" applyAlignment="1">
      <alignment horizontal="center" vertical="center" wrapText="1"/>
    </xf>
    <xf numFmtId="0" fontId="11" fillId="4" borderId="16" xfId="0" applyFont="1" applyFill="1" applyBorder="1" applyAlignment="1">
      <alignment horizontal="center" vertical="center" wrapText="1"/>
    </xf>
    <xf numFmtId="0" fontId="11" fillId="4" borderId="8"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4" borderId="9" xfId="0" applyFont="1" applyFill="1" applyBorder="1" applyAlignment="1">
      <alignment horizontal="center" vertical="center" wrapText="1"/>
    </xf>
    <xf numFmtId="0" fontId="0" fillId="2" borderId="13" xfId="0" applyFill="1" applyBorder="1" applyAlignment="1">
      <alignment horizontal="center" vertical="center"/>
    </xf>
    <xf numFmtId="0" fontId="0" fillId="2" borderId="4" xfId="0" applyFill="1" applyBorder="1" applyAlignment="1">
      <alignment horizontal="center" vertical="center"/>
    </xf>
    <xf numFmtId="0" fontId="0" fillId="2" borderId="14" xfId="0" applyFill="1" applyBorder="1" applyAlignment="1">
      <alignment horizontal="center" vertical="center"/>
    </xf>
    <xf numFmtId="0" fontId="4" fillId="8" borderId="13" xfId="0" applyFont="1" applyFill="1" applyBorder="1" applyAlignment="1">
      <alignment horizontal="center" vertical="center"/>
    </xf>
    <xf numFmtId="0" fontId="4" fillId="8" borderId="4" xfId="0" applyFont="1" applyFill="1" applyBorder="1" applyAlignment="1">
      <alignment horizontal="center" vertical="center"/>
    </xf>
    <xf numFmtId="0" fontId="4" fillId="8" borderId="33" xfId="0" applyFont="1" applyFill="1" applyBorder="1" applyAlignment="1">
      <alignment horizontal="center" vertical="center"/>
    </xf>
    <xf numFmtId="0" fontId="10" fillId="9" borderId="6" xfId="0" applyFont="1" applyFill="1" applyBorder="1" applyAlignment="1">
      <alignment horizontal="center" vertical="center" wrapText="1"/>
    </xf>
    <xf numFmtId="0" fontId="10" fillId="9" borderId="2"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10" fillId="9" borderId="15" xfId="0" applyFont="1" applyFill="1" applyBorder="1" applyAlignment="1">
      <alignment horizontal="center" vertical="center" wrapText="1"/>
    </xf>
    <xf numFmtId="0" fontId="10" fillId="9" borderId="0" xfId="0" applyFont="1" applyFill="1" applyBorder="1" applyAlignment="1">
      <alignment horizontal="center" vertical="center" wrapText="1"/>
    </xf>
    <xf numFmtId="0" fontId="10" fillId="9" borderId="16" xfId="0" applyFont="1" applyFill="1" applyBorder="1" applyAlignment="1">
      <alignment horizontal="center" vertical="center" wrapText="1"/>
    </xf>
    <xf numFmtId="0" fontId="10" fillId="9" borderId="8" xfId="0" applyFont="1" applyFill="1" applyBorder="1" applyAlignment="1">
      <alignment horizontal="center" vertical="center" wrapText="1"/>
    </xf>
    <xf numFmtId="0" fontId="10" fillId="9" borderId="3" xfId="0" applyFont="1" applyFill="1" applyBorder="1" applyAlignment="1">
      <alignment horizontal="center" vertical="center" wrapText="1"/>
    </xf>
    <xf numFmtId="0" fontId="10" fillId="9" borderId="9" xfId="0" applyFont="1" applyFill="1" applyBorder="1" applyAlignment="1">
      <alignment horizontal="center" vertical="center" wrapText="1"/>
    </xf>
    <xf numFmtId="0" fontId="0" fillId="10" borderId="17" xfId="0" applyFill="1" applyBorder="1" applyAlignment="1">
      <alignment horizontal="center" vertical="center"/>
    </xf>
    <xf numFmtId="0" fontId="0" fillId="10" borderId="18" xfId="0" applyFill="1" applyBorder="1" applyAlignment="1">
      <alignment horizontal="center" vertical="center"/>
    </xf>
    <xf numFmtId="0" fontId="4" fillId="0" borderId="0" xfId="0" applyFont="1" applyAlignment="1">
      <alignment horizontal="center" wrapText="1"/>
    </xf>
    <xf numFmtId="0" fontId="4" fillId="12" borderId="6" xfId="0" applyFont="1" applyFill="1" applyBorder="1" applyAlignment="1">
      <alignment horizontal="center" vertical="center" wrapText="1"/>
    </xf>
    <xf numFmtId="0" fontId="4" fillId="12" borderId="2" xfId="0" applyFont="1" applyFill="1" applyBorder="1" applyAlignment="1">
      <alignment horizontal="center" vertical="center" wrapText="1"/>
    </xf>
    <xf numFmtId="0" fontId="4" fillId="12" borderId="7" xfId="0" applyFont="1" applyFill="1" applyBorder="1" applyAlignment="1">
      <alignment horizontal="center" vertical="center" wrapText="1"/>
    </xf>
    <xf numFmtId="0" fontId="4" fillId="12" borderId="15" xfId="0" applyFont="1" applyFill="1" applyBorder="1" applyAlignment="1">
      <alignment horizontal="center" vertical="center" wrapText="1"/>
    </xf>
    <xf numFmtId="0" fontId="4" fillId="12" borderId="0" xfId="0" applyFont="1" applyFill="1" applyBorder="1" applyAlignment="1">
      <alignment horizontal="center" vertical="center" wrapText="1"/>
    </xf>
    <xf numFmtId="0" fontId="4" fillId="12" borderId="16" xfId="0" applyFont="1" applyFill="1" applyBorder="1" applyAlignment="1">
      <alignment horizontal="center" vertical="center" wrapText="1"/>
    </xf>
    <xf numFmtId="0" fontId="4" fillId="12" borderId="8" xfId="0" applyFont="1" applyFill="1" applyBorder="1" applyAlignment="1">
      <alignment horizontal="center" vertical="center" wrapText="1"/>
    </xf>
    <xf numFmtId="0" fontId="4" fillId="12" borderId="3" xfId="0" applyFont="1" applyFill="1" applyBorder="1" applyAlignment="1">
      <alignment horizontal="center" vertical="center" wrapText="1"/>
    </xf>
    <xf numFmtId="0" fontId="4" fillId="12" borderId="9" xfId="0" applyFont="1" applyFill="1" applyBorder="1" applyAlignment="1">
      <alignment horizontal="center" vertical="center" wrapText="1"/>
    </xf>
    <xf numFmtId="0" fontId="12" fillId="13" borderId="17" xfId="0" applyFont="1" applyFill="1" applyBorder="1" applyAlignment="1">
      <alignment horizontal="center" vertical="center"/>
    </xf>
    <xf numFmtId="0" fontId="12" fillId="13" borderId="18" xfId="0" applyFont="1" applyFill="1" applyBorder="1" applyAlignment="1">
      <alignment horizontal="center" vertical="center"/>
    </xf>
    <xf numFmtId="0" fontId="12" fillId="13" borderId="37" xfId="0" applyFont="1" applyFill="1" applyBorder="1" applyAlignment="1">
      <alignment horizontal="center" vertical="center"/>
    </xf>
  </cellXfs>
  <cellStyles count="2">
    <cellStyle name="Обычный" xfId="0" builtinId="0"/>
    <cellStyle name="Процентный"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X</a:t>
            </a:r>
            <a:r>
              <a:rPr lang="en-US" baseline="0"/>
              <a:t> - </a:t>
            </a:r>
            <a:r>
              <a:rPr lang="ru-RU" baseline="0"/>
              <a:t>Объем платных услуг на душу населения по субъектам РФ за 2024 год, руб. График остатков</a:t>
            </a:r>
            <a:endParaRPr lang="ru-RU"/>
          </a:p>
        </c:rich>
      </c:tx>
      <c:overlay val="0"/>
    </c:title>
    <c:autoTitleDeleted val="0"/>
    <c:plotArea>
      <c:layout/>
      <c:scatterChart>
        <c:scatterStyle val="lineMarker"/>
        <c:varyColors val="0"/>
        <c:ser>
          <c:idx val="0"/>
          <c:order val="0"/>
          <c:spPr>
            <a:ln w="19050">
              <a:noFill/>
            </a:ln>
          </c:spPr>
          <c:xVal>
            <c:numRef>
              <c:f>'Регрессионный анализ'!$B$2:$B$86</c:f>
              <c:numCache>
                <c:formatCode>General</c:formatCode>
                <c:ptCount val="85"/>
                <c:pt idx="0">
                  <c:v>77149</c:v>
                </c:pt>
                <c:pt idx="1">
                  <c:v>90442</c:v>
                </c:pt>
                <c:pt idx="2">
                  <c:v>107047</c:v>
                </c:pt>
                <c:pt idx="3">
                  <c:v>59369</c:v>
                </c:pt>
                <c:pt idx="4">
                  <c:v>83556</c:v>
                </c:pt>
                <c:pt idx="5">
                  <c:v>70346</c:v>
                </c:pt>
                <c:pt idx="6">
                  <c:v>78606</c:v>
                </c:pt>
                <c:pt idx="7">
                  <c:v>87372</c:v>
                </c:pt>
                <c:pt idx="8">
                  <c:v>85908</c:v>
                </c:pt>
                <c:pt idx="9">
                  <c:v>76797</c:v>
                </c:pt>
                <c:pt idx="10">
                  <c:v>87015</c:v>
                </c:pt>
                <c:pt idx="11">
                  <c:v>83105</c:v>
                </c:pt>
                <c:pt idx="12">
                  <c:v>75584</c:v>
                </c:pt>
                <c:pt idx="13">
                  <c:v>79302</c:v>
                </c:pt>
                <c:pt idx="14">
                  <c:v>72618</c:v>
                </c:pt>
                <c:pt idx="15">
                  <c:v>114401</c:v>
                </c:pt>
                <c:pt idx="16">
                  <c:v>80241</c:v>
                </c:pt>
                <c:pt idx="17">
                  <c:v>125583</c:v>
                </c:pt>
                <c:pt idx="18">
                  <c:v>67347</c:v>
                </c:pt>
                <c:pt idx="19">
                  <c:v>83731</c:v>
                </c:pt>
                <c:pt idx="20">
                  <c:v>83168</c:v>
                </c:pt>
                <c:pt idx="21">
                  <c:v>72253</c:v>
                </c:pt>
                <c:pt idx="22">
                  <c:v>184607</c:v>
                </c:pt>
                <c:pt idx="23">
                  <c:v>108297</c:v>
                </c:pt>
                <c:pt idx="24">
                  <c:v>56306</c:v>
                </c:pt>
                <c:pt idx="25">
                  <c:v>70911</c:v>
                </c:pt>
                <c:pt idx="26">
                  <c:v>79469</c:v>
                </c:pt>
                <c:pt idx="27">
                  <c:v>92815</c:v>
                </c:pt>
                <c:pt idx="28">
                  <c:v>130530</c:v>
                </c:pt>
                <c:pt idx="29">
                  <c:v>110587</c:v>
                </c:pt>
                <c:pt idx="30">
                  <c:v>140661</c:v>
                </c:pt>
                <c:pt idx="31">
                  <c:v>95039</c:v>
                </c:pt>
                <c:pt idx="32">
                  <c:v>105440</c:v>
                </c:pt>
                <c:pt idx="33">
                  <c:v>80066</c:v>
                </c:pt>
                <c:pt idx="34">
                  <c:v>113585</c:v>
                </c:pt>
                <c:pt idx="35">
                  <c:v>92297</c:v>
                </c:pt>
                <c:pt idx="36">
                  <c:v>74419</c:v>
                </c:pt>
                <c:pt idx="37">
                  <c:v>77534</c:v>
                </c:pt>
                <c:pt idx="38">
                  <c:v>76315</c:v>
                </c:pt>
                <c:pt idx="39">
                  <c:v>107695</c:v>
                </c:pt>
                <c:pt idx="40">
                  <c:v>134478</c:v>
                </c:pt>
                <c:pt idx="41">
                  <c:v>70545</c:v>
                </c:pt>
                <c:pt idx="42">
                  <c:v>61750</c:v>
                </c:pt>
                <c:pt idx="43">
                  <c:v>84262</c:v>
                </c:pt>
                <c:pt idx="44">
                  <c:v>90667</c:v>
                </c:pt>
                <c:pt idx="45">
                  <c:v>73536</c:v>
                </c:pt>
                <c:pt idx="46">
                  <c:v>64100</c:v>
                </c:pt>
                <c:pt idx="47">
                  <c:v>24816</c:v>
                </c:pt>
                <c:pt idx="48">
                  <c:v>40166</c:v>
                </c:pt>
                <c:pt idx="49">
                  <c:v>120273</c:v>
                </c:pt>
                <c:pt idx="50">
                  <c:v>96407</c:v>
                </c:pt>
                <c:pt idx="51">
                  <c:v>89422</c:v>
                </c:pt>
                <c:pt idx="52">
                  <c:v>52294</c:v>
                </c:pt>
                <c:pt idx="53">
                  <c:v>52126</c:v>
                </c:pt>
                <c:pt idx="54">
                  <c:v>118877</c:v>
                </c:pt>
                <c:pt idx="55">
                  <c:v>58610</c:v>
                </c:pt>
                <c:pt idx="56">
                  <c:v>114065</c:v>
                </c:pt>
                <c:pt idx="57">
                  <c:v>58383</c:v>
                </c:pt>
                <c:pt idx="58">
                  <c:v>64698</c:v>
                </c:pt>
                <c:pt idx="59">
                  <c:v>106713</c:v>
                </c:pt>
                <c:pt idx="60">
                  <c:v>75112</c:v>
                </c:pt>
                <c:pt idx="61">
                  <c:v>87081</c:v>
                </c:pt>
                <c:pt idx="62">
                  <c:v>65624</c:v>
                </c:pt>
                <c:pt idx="63">
                  <c:v>133994</c:v>
                </c:pt>
                <c:pt idx="64">
                  <c:v>158779</c:v>
                </c:pt>
                <c:pt idx="65">
                  <c:v>59996</c:v>
                </c:pt>
                <c:pt idx="66">
                  <c:v>90020</c:v>
                </c:pt>
                <c:pt idx="67">
                  <c:v>74538</c:v>
                </c:pt>
                <c:pt idx="68">
                  <c:v>76218</c:v>
                </c:pt>
                <c:pt idx="69">
                  <c:v>70818</c:v>
                </c:pt>
                <c:pt idx="70">
                  <c:v>79125</c:v>
                </c:pt>
                <c:pt idx="71">
                  <c:v>119041</c:v>
                </c:pt>
                <c:pt idx="72">
                  <c:v>85129</c:v>
                </c:pt>
                <c:pt idx="73">
                  <c:v>78123</c:v>
                </c:pt>
                <c:pt idx="74">
                  <c:v>135821</c:v>
                </c:pt>
                <c:pt idx="75">
                  <c:v>112512</c:v>
                </c:pt>
                <c:pt idx="76">
                  <c:v>90766</c:v>
                </c:pt>
                <c:pt idx="77">
                  <c:v>57057</c:v>
                </c:pt>
                <c:pt idx="78">
                  <c:v>72932</c:v>
                </c:pt>
                <c:pt idx="79">
                  <c:v>106794</c:v>
                </c:pt>
                <c:pt idx="80">
                  <c:v>134791</c:v>
                </c:pt>
                <c:pt idx="81">
                  <c:v>84096</c:v>
                </c:pt>
                <c:pt idx="82">
                  <c:v>307068</c:v>
                </c:pt>
                <c:pt idx="83">
                  <c:v>174153</c:v>
                </c:pt>
                <c:pt idx="84">
                  <c:v>94248</c:v>
                </c:pt>
              </c:numCache>
            </c:numRef>
          </c:xVal>
          <c:yVal>
            <c:numRef>
              <c:f>'Регрессионный анализ'!$G$26:$G$110</c:f>
              <c:numCache>
                <c:formatCode>General</c:formatCode>
                <c:ptCount val="85"/>
                <c:pt idx="0">
                  <c:v>-13636.383748671185</c:v>
                </c:pt>
                <c:pt idx="1">
                  <c:v>11224.935478987754</c:v>
                </c:pt>
                <c:pt idx="2">
                  <c:v>1971.4229366930813</c:v>
                </c:pt>
                <c:pt idx="3">
                  <c:v>2861.9196540388075</c:v>
                </c:pt>
                <c:pt idx="4">
                  <c:v>-6419.4305935059965</c:v>
                </c:pt>
                <c:pt idx="5">
                  <c:v>-6898.8244096027847</c:v>
                </c:pt>
                <c:pt idx="6">
                  <c:v>-4951.5244155861728</c:v>
                </c:pt>
                <c:pt idx="7">
                  <c:v>-12967.823719756911</c:v>
                </c:pt>
                <c:pt idx="8">
                  <c:v>-1969.0502562266774</c:v>
                </c:pt>
                <c:pt idx="9">
                  <c:v>-5380.7059760191041</c:v>
                </c:pt>
                <c:pt idx="10">
                  <c:v>4758.4489076203317</c:v>
                </c:pt>
                <c:pt idx="11">
                  <c:v>13182.625302704488</c:v>
                </c:pt>
                <c:pt idx="12">
                  <c:v>-18382.194219692494</c:v>
                </c:pt>
                <c:pt idx="13">
                  <c:v>17120.271806669945</c:v>
                </c:pt>
                <c:pt idx="14">
                  <c:v>-20057.926396720737</c:v>
                </c:pt>
                <c:pt idx="15">
                  <c:v>-21641.089393089205</c:v>
                </c:pt>
                <c:pt idx="16">
                  <c:v>3675.9580892827362</c:v>
                </c:pt>
                <c:pt idx="17">
                  <c:v>38657.777499537158</c:v>
                </c:pt>
                <c:pt idx="18">
                  <c:v>-15341.430545444899</c:v>
                </c:pt>
                <c:pt idx="19">
                  <c:v>5869.7494911130052</c:v>
                </c:pt>
                <c:pt idx="20">
                  <c:v>-13785.06986683268</c:v>
                </c:pt>
                <c:pt idx="21">
                  <c:v>-9477.5020017832139</c:v>
                </c:pt>
                <c:pt idx="22">
                  <c:v>-54273.963560167816</c:v>
                </c:pt>
                <c:pt idx="23">
                  <c:v>9944.7092554002011</c:v>
                </c:pt>
                <c:pt idx="24">
                  <c:v>5109.5276586788968</c:v>
                </c:pt>
                <c:pt idx="25">
                  <c:v>-552.04299354716204</c:v>
                </c:pt>
                <c:pt idx="26">
                  <c:v>11905.603658849228</c:v>
                </c:pt>
                <c:pt idx="27">
                  <c:v>-9296.5825735786493</c:v>
                </c:pt>
                <c:pt idx="28">
                  <c:v>60261.42823445244</c:v>
                </c:pt>
                <c:pt idx="29">
                  <c:v>12935.265791271639</c:v>
                </c:pt>
                <c:pt idx="30">
                  <c:v>12399.733590309857</c:v>
                </c:pt>
                <c:pt idx="31">
                  <c:v>57005.226044665062</c:v>
                </c:pt>
                <c:pt idx="32">
                  <c:v>-14052.590754636782</c:v>
                </c:pt>
                <c:pt idx="33">
                  <c:v>-7455.2219953362655</c:v>
                </c:pt>
                <c:pt idx="34">
                  <c:v>-11055.609101941227</c:v>
                </c:pt>
                <c:pt idx="35">
                  <c:v>-11373.755624050886</c:v>
                </c:pt>
                <c:pt idx="36">
                  <c:v>-3440.593068727525</c:v>
                </c:pt>
                <c:pt idx="37">
                  <c:v>-12982.187562509382</c:v>
                </c:pt>
                <c:pt idx="38">
                  <c:v>-11015.561980512575</c:v>
                </c:pt>
                <c:pt idx="39">
                  <c:v>-9923.8702356891445</c:v>
                </c:pt>
                <c:pt idx="40">
                  <c:v>-9748.469056543021</c:v>
                </c:pt>
                <c:pt idx="41">
                  <c:v>-10503.099627664611</c:v>
                </c:pt>
                <c:pt idx="42">
                  <c:v>-4623.750166087877</c:v>
                </c:pt>
                <c:pt idx="43">
                  <c:v>-9078.8240807002148</c:v>
                </c:pt>
                <c:pt idx="44">
                  <c:v>-8352.8329836449557</c:v>
                </c:pt>
                <c:pt idx="45">
                  <c:v>5884.6582757377764</c:v>
                </c:pt>
                <c:pt idx="46">
                  <c:v>-17505.331886918502</c:v>
                </c:pt>
                <c:pt idx="47">
                  <c:v>-1169.0772821907594</c:v>
                </c:pt>
                <c:pt idx="48">
                  <c:v>-561.28128846737673</c:v>
                </c:pt>
                <c:pt idx="49">
                  <c:v>-17086.48678233067</c:v>
                </c:pt>
                <c:pt idx="50">
                  <c:v>9943.2737918581115</c:v>
                </c:pt>
                <c:pt idx="51">
                  <c:v>-19975.714157077251</c:v>
                </c:pt>
                <c:pt idx="52">
                  <c:v>4980.6390901565319</c:v>
                </c:pt>
                <c:pt idx="53">
                  <c:v>1202.826208922299</c:v>
                </c:pt>
                <c:pt idx="54">
                  <c:v>36295.996656937234</c:v>
                </c:pt>
                <c:pt idx="55">
                  <c:v>-11132.18139868015</c:v>
                </c:pt>
                <c:pt idx="56">
                  <c:v>-12310.715155557686</c:v>
                </c:pt>
                <c:pt idx="57">
                  <c:v>8363.6250058426376</c:v>
                </c:pt>
                <c:pt idx="58">
                  <c:v>9161.3234879509837</c:v>
                </c:pt>
                <c:pt idx="59">
                  <c:v>-21777.240767665455</c:v>
                </c:pt>
                <c:pt idx="60">
                  <c:v>-3404.2399336363014</c:v>
                </c:pt>
                <c:pt idx="61">
                  <c:v>-3677.8031747519271</c:v>
                </c:pt>
                <c:pt idx="62">
                  <c:v>-4309.2436071507836</c:v>
                </c:pt>
                <c:pt idx="63">
                  <c:v>31942.712880853593</c:v>
                </c:pt>
                <c:pt idx="64">
                  <c:v>-32200.981991821725</c:v>
                </c:pt>
                <c:pt idx="65">
                  <c:v>400.52487150229717</c:v>
                </c:pt>
                <c:pt idx="66">
                  <c:v>-18413.05878220775</c:v>
                </c:pt>
                <c:pt idx="67">
                  <c:v>-12393.350611186615</c:v>
                </c:pt>
                <c:pt idx="68">
                  <c:v>-3727.2217988442426</c:v>
                </c:pt>
                <c:pt idx="69">
                  <c:v>12893.221304341016</c:v>
                </c:pt>
                <c:pt idx="70">
                  <c:v>3926.1296639410284</c:v>
                </c:pt>
                <c:pt idx="71">
                  <c:v>31249.885421951592</c:v>
                </c:pt>
                <c:pt idx="72">
                  <c:v>-5496.771890044969</c:v>
                </c:pt>
                <c:pt idx="73">
                  <c:v>-9678.8614491345943</c:v>
                </c:pt>
                <c:pt idx="74">
                  <c:v>-9069.4470357240934</c:v>
                </c:pt>
                <c:pt idx="75">
                  <c:v>37475.246722080599</c:v>
                </c:pt>
                <c:pt idx="76">
                  <c:v>-5037.2111072033586</c:v>
                </c:pt>
                <c:pt idx="77">
                  <c:v>-16649.219521041872</c:v>
                </c:pt>
                <c:pt idx="78">
                  <c:v>-5883.8832734615135</c:v>
                </c:pt>
                <c:pt idx="79">
                  <c:v>104259.72258578677</c:v>
                </c:pt>
                <c:pt idx="80">
                  <c:v>65048.093037661252</c:v>
                </c:pt>
                <c:pt idx="81">
                  <c:v>-6515.674903824518</c:v>
                </c:pt>
                <c:pt idx="82">
                  <c:v>-25665.664460014203</c:v>
                </c:pt>
                <c:pt idx="83">
                  <c:v>-8785.6413007791853</c:v>
                </c:pt>
                <c:pt idx="84">
                  <c:v>-20848.267937812809</c:v>
                </c:pt>
              </c:numCache>
            </c:numRef>
          </c:yVal>
          <c:smooth val="0"/>
          <c:extLst>
            <c:ext xmlns:c16="http://schemas.microsoft.com/office/drawing/2014/chart" uri="{C3380CC4-5D6E-409C-BE32-E72D297353CC}">
              <c16:uniqueId val="{00000001-0EAF-6A4B-BEAF-72AA245933B2}"/>
            </c:ext>
          </c:extLst>
        </c:ser>
        <c:dLbls>
          <c:showLegendKey val="0"/>
          <c:showVal val="0"/>
          <c:showCatName val="0"/>
          <c:showSerName val="0"/>
          <c:showPercent val="0"/>
          <c:showBubbleSize val="0"/>
        </c:dLbls>
        <c:axId val="533591552"/>
        <c:axId val="533680752"/>
      </c:scatterChart>
      <c:valAx>
        <c:axId val="533591552"/>
        <c:scaling>
          <c:orientation val="minMax"/>
        </c:scaling>
        <c:delete val="0"/>
        <c:axPos val="b"/>
        <c:title>
          <c:tx>
            <c:rich>
              <a:bodyPr/>
              <a:lstStyle/>
              <a:p>
                <a:pPr>
                  <a:defRPr/>
                </a:pPr>
                <a:r>
                  <a:rPr lang="en-US"/>
                  <a:t>X</a:t>
                </a:r>
                <a:r>
                  <a:rPr lang="en-US" baseline="0"/>
                  <a:t> - О</a:t>
                </a:r>
                <a:r>
                  <a:rPr lang="ru-RU" baseline="0"/>
                  <a:t>бъем платных услуг на душу населения по субъектам РФ за 2024 год, руб.</a:t>
                </a:r>
                <a:endParaRPr lang="en"/>
              </a:p>
            </c:rich>
          </c:tx>
          <c:overlay val="0"/>
        </c:title>
        <c:numFmt formatCode="General" sourceLinked="1"/>
        <c:majorTickMark val="out"/>
        <c:minorTickMark val="none"/>
        <c:tickLblPos val="nextTo"/>
        <c:crossAx val="533680752"/>
        <c:crosses val="autoZero"/>
        <c:crossBetween val="midCat"/>
      </c:valAx>
      <c:valAx>
        <c:axId val="533680752"/>
        <c:scaling>
          <c:orientation val="minMax"/>
        </c:scaling>
        <c:delete val="0"/>
        <c:axPos val="l"/>
        <c:title>
          <c:tx>
            <c:rich>
              <a:bodyPr/>
              <a:lstStyle/>
              <a:p>
                <a:pPr>
                  <a:defRPr/>
                </a:pPr>
                <a:r>
                  <a:rPr lang="ru-RU"/>
                  <a:t>Остатки</a:t>
                </a:r>
              </a:p>
            </c:rich>
          </c:tx>
          <c:overlay val="0"/>
        </c:title>
        <c:numFmt formatCode="General" sourceLinked="1"/>
        <c:majorTickMark val="out"/>
        <c:minorTickMark val="none"/>
        <c:tickLblPos val="nextTo"/>
        <c:crossAx val="53359155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650913</xdr:colOff>
      <xdr:row>33</xdr:row>
      <xdr:rowOff>184911</xdr:rowOff>
    </xdr:from>
    <xdr:to>
      <xdr:col>15</xdr:col>
      <xdr:colOff>16932</xdr:colOff>
      <xdr:row>54</xdr:row>
      <xdr:rowOff>89123</xdr:rowOff>
    </xdr:to>
    <xdr:graphicFrame macro="">
      <xdr:nvGraphicFramePr>
        <xdr:cNvPr id="4" name="Диаграмма 3">
          <a:extLst>
            <a:ext uri="{FF2B5EF4-FFF2-40B4-BE49-F238E27FC236}">
              <a16:creationId xmlns:a16="http://schemas.microsoft.com/office/drawing/2014/main" id="{D25E10AB-868C-A546-A97E-B061EFA932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9F0B0-FB76-9C49-BBC7-F0FEA29113BC}">
  <dimension ref="A1:T110"/>
  <sheetViews>
    <sheetView tabSelected="1" zoomScale="75" zoomScaleNormal="134" workbookViewId="0">
      <selection activeCell="I4" sqref="I4"/>
    </sheetView>
  </sheetViews>
  <sheetFormatPr baseColWidth="10" defaultRowHeight="16"/>
  <cols>
    <col min="1" max="1" width="29.1640625" customWidth="1"/>
    <col min="2" max="2" width="20.6640625" customWidth="1"/>
    <col min="3" max="3" width="17.1640625" customWidth="1"/>
    <col min="5" max="5" width="24.83203125" bestFit="1" customWidth="1"/>
    <col min="6" max="6" width="16.33203125" bestFit="1" customWidth="1"/>
    <col min="7" max="7" width="25" bestFit="1" customWidth="1"/>
    <col min="8" max="8" width="30" customWidth="1"/>
    <col min="9" max="9" width="21.6640625" bestFit="1" customWidth="1"/>
    <col min="10" max="10" width="37.33203125" customWidth="1"/>
    <col min="11" max="11" width="15.6640625" customWidth="1"/>
    <col min="12" max="12" width="15.5" style="1" customWidth="1"/>
    <col min="13" max="13" width="13.6640625" customWidth="1"/>
    <col min="14" max="14" width="16" customWidth="1"/>
    <col min="15" max="15" width="14.1640625" bestFit="1" customWidth="1"/>
    <col min="19" max="19" width="11.6640625" customWidth="1"/>
  </cols>
  <sheetData>
    <row r="1" spans="1:17" s="2" customFormat="1" ht="74" customHeight="1" thickBot="1">
      <c r="A1" s="22" t="s">
        <v>35</v>
      </c>
      <c r="B1" s="23" t="s">
        <v>121</v>
      </c>
      <c r="C1" s="24" t="s">
        <v>122</v>
      </c>
      <c r="D1" s="51"/>
      <c r="E1" s="53" t="s">
        <v>136</v>
      </c>
      <c r="F1" s="54"/>
      <c r="G1" s="54"/>
      <c r="H1" s="55"/>
      <c r="K1" s="13"/>
      <c r="L1" s="13"/>
      <c r="M1" s="13"/>
      <c r="N1" s="13"/>
      <c r="O1" s="13"/>
    </row>
    <row r="2" spans="1:17">
      <c r="A2" s="26" t="s">
        <v>110</v>
      </c>
      <c r="B2" s="27">
        <v>77149</v>
      </c>
      <c r="C2" s="28">
        <v>55280</v>
      </c>
      <c r="D2" s="21"/>
      <c r="E2" t="s">
        <v>0</v>
      </c>
      <c r="L2"/>
      <c r="O2" s="14"/>
    </row>
    <row r="3" spans="1:17" ht="17" thickBot="1">
      <c r="A3" s="18" t="s">
        <v>54</v>
      </c>
      <c r="B3" s="25">
        <v>90442</v>
      </c>
      <c r="C3" s="29">
        <v>87040</v>
      </c>
      <c r="D3" s="21"/>
      <c r="L3"/>
      <c r="O3" s="14"/>
    </row>
    <row r="4" spans="1:17">
      <c r="A4" s="18" t="s">
        <v>55</v>
      </c>
      <c r="B4" s="25">
        <v>107047</v>
      </c>
      <c r="C4" s="29">
        <v>86404</v>
      </c>
      <c r="D4" s="21"/>
      <c r="E4" s="6" t="s">
        <v>1</v>
      </c>
      <c r="F4" s="6"/>
      <c r="L4"/>
      <c r="O4" s="14"/>
    </row>
    <row r="5" spans="1:17">
      <c r="A5" s="18" t="s">
        <v>92</v>
      </c>
      <c r="B5" s="25">
        <v>59369</v>
      </c>
      <c r="C5" s="29">
        <v>62551</v>
      </c>
      <c r="D5" s="21"/>
      <c r="E5" s="3" t="s">
        <v>2</v>
      </c>
      <c r="F5" s="3">
        <v>0.64919215064545643</v>
      </c>
      <c r="L5"/>
      <c r="O5" s="14"/>
    </row>
    <row r="6" spans="1:17">
      <c r="A6" s="18" t="s">
        <v>81</v>
      </c>
      <c r="B6" s="25">
        <v>83556</v>
      </c>
      <c r="C6" s="29">
        <v>65822</v>
      </c>
      <c r="D6" s="21"/>
      <c r="E6" s="3" t="s">
        <v>3</v>
      </c>
      <c r="F6" s="3">
        <v>0.42145044845967305</v>
      </c>
      <c r="G6" s="20">
        <f>F6</f>
        <v>0.42145044845967305</v>
      </c>
      <c r="H6" s="82" t="s">
        <v>123</v>
      </c>
      <c r="I6" s="82"/>
      <c r="J6" s="82"/>
      <c r="L6"/>
      <c r="O6" s="14"/>
    </row>
    <row r="7" spans="1:17">
      <c r="A7" s="18" t="s">
        <v>100</v>
      </c>
      <c r="B7" s="25">
        <v>70346</v>
      </c>
      <c r="C7" s="29">
        <v>58487</v>
      </c>
      <c r="D7" s="21"/>
      <c r="E7" s="3" t="s">
        <v>4</v>
      </c>
      <c r="F7" s="3">
        <v>0.41447997193509079</v>
      </c>
      <c r="H7" s="82"/>
      <c r="I7" s="82"/>
      <c r="J7" s="82"/>
      <c r="L7"/>
      <c r="O7" s="14"/>
    </row>
    <row r="8" spans="1:17">
      <c r="A8" s="18" t="s">
        <v>84</v>
      </c>
      <c r="B8" s="25">
        <v>78606</v>
      </c>
      <c r="C8" s="29">
        <v>64721</v>
      </c>
      <c r="D8" s="21"/>
      <c r="E8" s="3" t="s">
        <v>5</v>
      </c>
      <c r="F8" s="3">
        <v>22384.0574216563</v>
      </c>
      <c r="H8" s="82"/>
      <c r="I8" s="82"/>
      <c r="J8" s="82"/>
      <c r="L8"/>
      <c r="O8" s="14"/>
    </row>
    <row r="9" spans="1:17" ht="17" thickBot="1">
      <c r="A9" s="18" t="s">
        <v>94</v>
      </c>
      <c r="B9" s="25">
        <v>87372</v>
      </c>
      <c r="C9" s="29">
        <v>61254</v>
      </c>
      <c r="D9" s="21"/>
      <c r="E9" s="4" t="s">
        <v>6</v>
      </c>
      <c r="F9" s="4">
        <v>85</v>
      </c>
      <c r="L9"/>
      <c r="O9" s="14"/>
    </row>
    <row r="10" spans="1:17" ht="31" customHeight="1">
      <c r="A10" s="18" t="s">
        <v>70</v>
      </c>
      <c r="B10" s="25">
        <v>85908</v>
      </c>
      <c r="C10" s="29">
        <v>71493</v>
      </c>
      <c r="D10" s="21"/>
      <c r="H10" s="65" t="s">
        <v>124</v>
      </c>
      <c r="I10" s="66"/>
      <c r="J10" s="66"/>
      <c r="K10" s="66"/>
      <c r="L10" s="67"/>
      <c r="O10" s="14"/>
    </row>
    <row r="11" spans="1:17" ht="17" thickBot="1">
      <c r="A11" s="18" t="s">
        <v>89</v>
      </c>
      <c r="B11" s="25">
        <v>76797</v>
      </c>
      <c r="C11" s="29">
        <v>63353</v>
      </c>
      <c r="D11" s="21"/>
      <c r="E11" t="s">
        <v>7</v>
      </c>
      <c r="H11" s="11" t="s">
        <v>134</v>
      </c>
      <c r="I11" s="9">
        <f>_xlfn.F.INV.RT(0.05,F13,F14)</f>
        <v>3.9559610071544347</v>
      </c>
      <c r="J11" s="8" t="s">
        <v>29</v>
      </c>
      <c r="K11" s="32">
        <f>I13</f>
        <v>60.462214738601531</v>
      </c>
      <c r="L11" s="10" t="s">
        <v>135</v>
      </c>
      <c r="O11" s="14"/>
    </row>
    <row r="12" spans="1:17">
      <c r="A12" s="18" t="s">
        <v>59</v>
      </c>
      <c r="B12" s="25">
        <v>87015</v>
      </c>
      <c r="C12" s="29">
        <v>78795</v>
      </c>
      <c r="D12" s="21"/>
      <c r="E12" s="5"/>
      <c r="F12" s="5" t="s">
        <v>12</v>
      </c>
      <c r="G12" s="5" t="s">
        <v>13</v>
      </c>
      <c r="H12" s="7" t="s">
        <v>14</v>
      </c>
      <c r="I12" s="7" t="s">
        <v>15</v>
      </c>
      <c r="J12" s="7" t="s">
        <v>16</v>
      </c>
      <c r="L12"/>
      <c r="O12" s="14"/>
    </row>
    <row r="13" spans="1:17">
      <c r="A13" s="18" t="s">
        <v>56</v>
      </c>
      <c r="B13" s="25">
        <v>83105</v>
      </c>
      <c r="C13" s="29">
        <v>85190</v>
      </c>
      <c r="D13" s="21"/>
      <c r="E13" s="3" t="s">
        <v>8</v>
      </c>
      <c r="F13" s="3">
        <v>1</v>
      </c>
      <c r="G13" s="3">
        <v>30294352457.598534</v>
      </c>
      <c r="H13" s="3">
        <v>30294352457.598534</v>
      </c>
      <c r="I13" s="3">
        <v>60.462214738601531</v>
      </c>
      <c r="J13" s="3">
        <v>1.815915217991876E-11</v>
      </c>
      <c r="L13"/>
      <c r="O13" s="14"/>
    </row>
    <row r="14" spans="1:17">
      <c r="A14" s="18" t="s">
        <v>113</v>
      </c>
      <c r="B14" s="25">
        <v>75584</v>
      </c>
      <c r="C14" s="29">
        <v>49722</v>
      </c>
      <c r="D14" s="21"/>
      <c r="E14" s="3" t="s">
        <v>9</v>
      </c>
      <c r="F14" s="3">
        <v>83</v>
      </c>
      <c r="G14" s="3">
        <v>41586820212.44854</v>
      </c>
      <c r="H14" s="3">
        <v>501046026.65600652</v>
      </c>
      <c r="I14" s="3"/>
      <c r="J14" s="3"/>
      <c r="L14"/>
      <c r="O14" s="14"/>
    </row>
    <row r="15" spans="1:17" ht="17" thickBot="1">
      <c r="A15" s="18" t="s">
        <v>53</v>
      </c>
      <c r="B15" s="25">
        <v>79302</v>
      </c>
      <c r="C15" s="29">
        <v>87154</v>
      </c>
      <c r="D15" s="21"/>
      <c r="E15" s="4" t="s">
        <v>10</v>
      </c>
      <c r="F15" s="4">
        <v>84</v>
      </c>
      <c r="G15" s="4">
        <v>71881172670.047073</v>
      </c>
      <c r="H15" s="4"/>
      <c r="I15" s="4"/>
      <c r="J15" s="4"/>
      <c r="L15"/>
      <c r="O15" s="14"/>
    </row>
    <row r="16" spans="1:17" ht="17" thickBot="1">
      <c r="A16" s="18" t="s">
        <v>117</v>
      </c>
      <c r="B16" s="25">
        <v>72618</v>
      </c>
      <c r="C16" s="29">
        <v>46507</v>
      </c>
      <c r="D16" s="21"/>
      <c r="L16"/>
      <c r="O16" s="15"/>
      <c r="P16" s="16"/>
      <c r="Q16" s="12"/>
    </row>
    <row r="17" spans="1:20" ht="18" customHeight="1">
      <c r="A17" s="18" t="s">
        <v>79</v>
      </c>
      <c r="B17" s="25">
        <v>114401</v>
      </c>
      <c r="C17" s="29">
        <v>66608</v>
      </c>
      <c r="D17" s="21"/>
      <c r="E17" s="5"/>
      <c r="F17" s="5" t="s">
        <v>17</v>
      </c>
      <c r="G17" s="5" t="s">
        <v>5</v>
      </c>
      <c r="H17" s="5" t="s">
        <v>18</v>
      </c>
      <c r="I17" s="5" t="s">
        <v>19</v>
      </c>
      <c r="J17" s="5" t="s">
        <v>20</v>
      </c>
      <c r="K17" s="5" t="s">
        <v>21</v>
      </c>
      <c r="L17" s="5" t="s">
        <v>22</v>
      </c>
      <c r="M17" s="5" t="s">
        <v>23</v>
      </c>
      <c r="N17" s="71" t="s">
        <v>126</v>
      </c>
      <c r="O17" s="72"/>
      <c r="P17" s="72"/>
      <c r="Q17" s="73"/>
      <c r="R17" s="38"/>
      <c r="S17" s="17"/>
      <c r="T17" s="17"/>
    </row>
    <row r="18" spans="1:20">
      <c r="A18" s="18" t="s">
        <v>66</v>
      </c>
      <c r="B18" s="25">
        <v>80241</v>
      </c>
      <c r="C18" s="29">
        <v>74197</v>
      </c>
      <c r="D18" s="21"/>
      <c r="E18" s="3" t="s">
        <v>11</v>
      </c>
      <c r="F18" s="3">
        <v>28878.294310219375</v>
      </c>
      <c r="G18" s="3">
        <v>6615.6714338826687</v>
      </c>
      <c r="H18" s="3">
        <v>4.3651343025164424</v>
      </c>
      <c r="I18" s="3">
        <v>3.6370338961341911E-5</v>
      </c>
      <c r="J18" s="3">
        <v>15719.989909372993</v>
      </c>
      <c r="K18" s="3">
        <v>42036.598711065759</v>
      </c>
      <c r="L18" s="3">
        <v>15719.989909372993</v>
      </c>
      <c r="M18" s="3">
        <v>42036.598711065759</v>
      </c>
      <c r="N18" s="74"/>
      <c r="O18" s="75"/>
      <c r="P18" s="75"/>
      <c r="Q18" s="76"/>
      <c r="R18" s="38"/>
      <c r="S18" s="17"/>
      <c r="T18" s="17"/>
    </row>
    <row r="19" spans="1:20" ht="17" thickBot="1">
      <c r="A19" s="18" t="s">
        <v>41</v>
      </c>
      <c r="B19" s="25">
        <v>125583</v>
      </c>
      <c r="C19" s="29">
        <v>132710</v>
      </c>
      <c r="D19" s="21"/>
      <c r="E19" s="4" t="s">
        <v>24</v>
      </c>
      <c r="F19" s="4">
        <v>0.51897094503430774</v>
      </c>
      <c r="G19" s="4">
        <v>6.6742276914526263E-2</v>
      </c>
      <c r="H19" s="4">
        <v>7.7757452850901352</v>
      </c>
      <c r="I19" s="4">
        <v>1.8159152179919222E-11</v>
      </c>
      <c r="J19" s="4">
        <v>0.38622324061400171</v>
      </c>
      <c r="K19" s="4">
        <v>0.65171864945461377</v>
      </c>
      <c r="L19" s="4">
        <v>0.38622324061400171</v>
      </c>
      <c r="M19" s="4">
        <v>0.65171864945461377</v>
      </c>
      <c r="N19" s="74"/>
      <c r="O19" s="75"/>
      <c r="P19" s="75"/>
      <c r="Q19" s="76"/>
      <c r="R19" s="38"/>
      <c r="S19" s="17"/>
      <c r="T19" s="17"/>
    </row>
    <row r="20" spans="1:20">
      <c r="A20" s="18" t="s">
        <v>115</v>
      </c>
      <c r="B20" s="25">
        <v>67347</v>
      </c>
      <c r="C20" s="29">
        <v>48488</v>
      </c>
      <c r="D20" s="21"/>
      <c r="H20" s="68" t="s">
        <v>125</v>
      </c>
      <c r="I20" s="69"/>
      <c r="J20" s="69"/>
      <c r="K20" s="69"/>
      <c r="L20" s="70"/>
      <c r="N20" s="74"/>
      <c r="O20" s="75"/>
      <c r="P20" s="75"/>
      <c r="Q20" s="76"/>
      <c r="R20" s="38"/>
      <c r="S20" s="17"/>
      <c r="T20" s="17"/>
    </row>
    <row r="21" spans="1:20" ht="17" thickBot="1">
      <c r="A21" s="18" t="s">
        <v>61</v>
      </c>
      <c r="B21" s="25">
        <v>83731</v>
      </c>
      <c r="C21" s="29">
        <v>78202</v>
      </c>
      <c r="D21" s="21"/>
      <c r="H21" s="33" t="s">
        <v>30</v>
      </c>
      <c r="I21" s="34">
        <f>H19</f>
        <v>7.7757452850901352</v>
      </c>
      <c r="J21" s="37" t="s">
        <v>32</v>
      </c>
      <c r="K21" s="35">
        <f>_xlfn.T.INV.2T(0.05,F14)</f>
        <v>1.9889597801751635</v>
      </c>
      <c r="L21" s="36" t="s">
        <v>31</v>
      </c>
      <c r="N21" s="74"/>
      <c r="O21" s="75"/>
      <c r="P21" s="75"/>
      <c r="Q21" s="76"/>
      <c r="R21" s="38"/>
      <c r="S21" s="17"/>
      <c r="T21" s="17"/>
    </row>
    <row r="22" spans="1:20">
      <c r="A22" s="18" t="s">
        <v>101</v>
      </c>
      <c r="B22" s="25">
        <v>83168</v>
      </c>
      <c r="C22" s="29">
        <v>58255</v>
      </c>
      <c r="D22" s="21"/>
      <c r="L22"/>
      <c r="N22" s="74"/>
      <c r="O22" s="75"/>
      <c r="P22" s="75"/>
      <c r="Q22" s="76"/>
      <c r="R22" s="38"/>
      <c r="S22" s="17"/>
      <c r="T22" s="17"/>
    </row>
    <row r="23" spans="1:20" ht="19" customHeight="1" thickBot="1">
      <c r="A23" s="18" t="s">
        <v>106</v>
      </c>
      <c r="B23" s="25">
        <v>72253</v>
      </c>
      <c r="C23" s="29">
        <v>56898</v>
      </c>
      <c r="D23" s="21"/>
      <c r="E23" t="s">
        <v>25</v>
      </c>
      <c r="L23"/>
      <c r="N23" s="77"/>
      <c r="O23" s="78"/>
      <c r="P23" s="78"/>
      <c r="Q23" s="79"/>
      <c r="R23" s="38"/>
      <c r="S23" s="17"/>
      <c r="T23" s="17"/>
    </row>
    <row r="24" spans="1:20" ht="17" thickBot="1">
      <c r="A24" s="18" t="s">
        <v>72</v>
      </c>
      <c r="B24" s="25">
        <v>184607</v>
      </c>
      <c r="C24" s="29">
        <v>70410</v>
      </c>
      <c r="D24" s="21"/>
      <c r="H24" s="39"/>
      <c r="I24" s="39"/>
      <c r="L24"/>
      <c r="O24" s="44"/>
    </row>
    <row r="25" spans="1:20" ht="62" customHeight="1" thickBot="1">
      <c r="A25" s="18" t="s">
        <v>49</v>
      </c>
      <c r="B25" s="25">
        <v>108297</v>
      </c>
      <c r="C25" s="29">
        <v>95026</v>
      </c>
      <c r="D25" s="21"/>
      <c r="E25" s="43" t="s">
        <v>26</v>
      </c>
      <c r="F25" s="43" t="s">
        <v>27</v>
      </c>
      <c r="G25" s="43" t="s">
        <v>28</v>
      </c>
      <c r="H25" s="40" t="s">
        <v>130</v>
      </c>
      <c r="I25" s="41" t="s">
        <v>33</v>
      </c>
      <c r="J25" s="42" t="s">
        <v>34</v>
      </c>
      <c r="L25" s="80" t="s">
        <v>127</v>
      </c>
      <c r="M25" s="81"/>
      <c r="N25" s="81"/>
      <c r="O25" s="56" t="s">
        <v>128</v>
      </c>
      <c r="P25" s="57"/>
      <c r="Q25" s="57"/>
      <c r="R25" s="57"/>
      <c r="S25" s="58"/>
    </row>
    <row r="26" spans="1:20" ht="17" thickBot="1">
      <c r="A26" s="18" t="s">
        <v>90</v>
      </c>
      <c r="B26" s="25">
        <v>56306</v>
      </c>
      <c r="C26" s="29">
        <v>63209</v>
      </c>
      <c r="D26" s="21"/>
      <c r="E26" s="3">
        <v>1</v>
      </c>
      <c r="F26" s="3">
        <v>68916.383748671185</v>
      </c>
      <c r="G26" s="3">
        <v>-13636.383748671185</v>
      </c>
      <c r="H26">
        <f>G26+F26</f>
        <v>55280</v>
      </c>
      <c r="I26">
        <f>ABS(G26/H26)</f>
        <v>0.24667843250128774</v>
      </c>
      <c r="J26" s="49">
        <f>AVERAGE(I26:I110)*100</f>
        <v>17.998152213516121</v>
      </c>
      <c r="K26" s="52" t="s">
        <v>137</v>
      </c>
      <c r="L26"/>
      <c r="O26" s="59"/>
      <c r="P26" s="60"/>
      <c r="Q26" s="60"/>
      <c r="R26" s="60"/>
      <c r="S26" s="61"/>
    </row>
    <row r="27" spans="1:20" ht="17" thickBot="1">
      <c r="A27" s="18" t="s">
        <v>83</v>
      </c>
      <c r="B27" s="25">
        <v>70911</v>
      </c>
      <c r="C27" s="29">
        <v>65127</v>
      </c>
      <c r="D27" s="21"/>
      <c r="E27" s="3">
        <v>2</v>
      </c>
      <c r="F27" s="3">
        <v>75815.064521012246</v>
      </c>
      <c r="G27" s="3">
        <v>11224.935478987754</v>
      </c>
      <c r="H27">
        <f t="shared" ref="H27:H90" si="0">G27+F27</f>
        <v>87040</v>
      </c>
      <c r="I27">
        <f>ABS(G27/H27)</f>
        <v>0.12896295357292917</v>
      </c>
      <c r="L27"/>
      <c r="O27" s="62"/>
      <c r="P27" s="63"/>
      <c r="Q27" s="63"/>
      <c r="R27" s="63"/>
      <c r="S27" s="64"/>
    </row>
    <row r="28" spans="1:20">
      <c r="A28" s="18" t="s">
        <v>57</v>
      </c>
      <c r="B28" s="25">
        <v>79469</v>
      </c>
      <c r="C28" s="29">
        <v>82026</v>
      </c>
      <c r="D28" s="21"/>
      <c r="E28" s="3">
        <v>3</v>
      </c>
      <c r="F28" s="3">
        <v>84432.577063306919</v>
      </c>
      <c r="G28" s="3">
        <v>1971.4229366930813</v>
      </c>
      <c r="H28">
        <f t="shared" si="0"/>
        <v>86404</v>
      </c>
      <c r="I28">
        <f t="shared" ref="I28:I91" si="1">ABS(G28/H28)</f>
        <v>2.2816338788633411E-2</v>
      </c>
      <c r="L28"/>
      <c r="O28" s="56" t="s">
        <v>129</v>
      </c>
      <c r="P28" s="57"/>
      <c r="Q28" s="57"/>
      <c r="R28" s="57"/>
      <c r="S28" s="58"/>
    </row>
    <row r="29" spans="1:20" ht="18" customHeight="1">
      <c r="A29" s="18" t="s">
        <v>75</v>
      </c>
      <c r="B29" s="25">
        <v>92815</v>
      </c>
      <c r="C29" s="29">
        <v>67750</v>
      </c>
      <c r="D29" s="21"/>
      <c r="E29" s="3">
        <v>4</v>
      </c>
      <c r="F29" s="3">
        <v>59689.080345961193</v>
      </c>
      <c r="G29" s="3">
        <v>2861.9196540388075</v>
      </c>
      <c r="H29">
        <f t="shared" si="0"/>
        <v>62551</v>
      </c>
      <c r="I29">
        <f t="shared" si="1"/>
        <v>4.5753379706780187E-2</v>
      </c>
      <c r="L29"/>
      <c r="O29" s="59"/>
      <c r="P29" s="60"/>
      <c r="Q29" s="60"/>
      <c r="R29" s="60"/>
      <c r="S29" s="61"/>
    </row>
    <row r="30" spans="1:20">
      <c r="A30" s="18" t="s">
        <v>39</v>
      </c>
      <c r="B30" s="25">
        <v>130530</v>
      </c>
      <c r="C30" s="29">
        <v>156881</v>
      </c>
      <c r="D30" s="21"/>
      <c r="E30" s="3">
        <v>5</v>
      </c>
      <c r="F30" s="3">
        <v>72241.430593505997</v>
      </c>
      <c r="G30" s="3">
        <v>-6419.4305935059965</v>
      </c>
      <c r="H30">
        <f t="shared" si="0"/>
        <v>65822</v>
      </c>
      <c r="I30">
        <f t="shared" si="1"/>
        <v>9.7527127609401063E-2</v>
      </c>
      <c r="L30"/>
      <c r="O30" s="59"/>
      <c r="P30" s="60"/>
      <c r="Q30" s="60"/>
      <c r="R30" s="60"/>
      <c r="S30" s="61"/>
    </row>
    <row r="31" spans="1:20">
      <c r="A31" s="18" t="s">
        <v>48</v>
      </c>
      <c r="B31" s="25">
        <v>110587</v>
      </c>
      <c r="C31" s="29">
        <v>99205</v>
      </c>
      <c r="D31" s="21"/>
      <c r="E31" s="3">
        <v>6</v>
      </c>
      <c r="F31" s="3">
        <v>65385.824409602785</v>
      </c>
      <c r="G31" s="3">
        <v>-6898.8244096027847</v>
      </c>
      <c r="H31">
        <f t="shared" si="0"/>
        <v>58487</v>
      </c>
      <c r="I31">
        <f t="shared" si="1"/>
        <v>0.1179548345718328</v>
      </c>
      <c r="L31"/>
      <c r="O31" s="59"/>
      <c r="P31" s="60"/>
      <c r="Q31" s="60"/>
      <c r="R31" s="60"/>
      <c r="S31" s="61"/>
    </row>
    <row r="32" spans="1:20">
      <c r="A32" s="18" t="s">
        <v>46</v>
      </c>
      <c r="B32" s="25">
        <v>140661</v>
      </c>
      <c r="C32" s="29">
        <v>114277</v>
      </c>
      <c r="D32" s="21"/>
      <c r="E32" s="3">
        <v>7</v>
      </c>
      <c r="F32" s="3">
        <v>69672.524415586173</v>
      </c>
      <c r="G32" s="3">
        <v>-4951.5244155861728</v>
      </c>
      <c r="H32">
        <f t="shared" si="0"/>
        <v>64721</v>
      </c>
      <c r="I32">
        <f t="shared" si="1"/>
        <v>7.6505684640011326E-2</v>
      </c>
      <c r="L32"/>
      <c r="O32" s="59"/>
      <c r="P32" s="60"/>
      <c r="Q32" s="60"/>
      <c r="R32" s="60"/>
      <c r="S32" s="61"/>
    </row>
    <row r="33" spans="1:19" ht="17" thickBot="1">
      <c r="A33" s="18" t="s">
        <v>40</v>
      </c>
      <c r="B33" s="25">
        <v>95039</v>
      </c>
      <c r="C33" s="29">
        <v>135206</v>
      </c>
      <c r="D33" s="21"/>
      <c r="E33" s="3">
        <v>8</v>
      </c>
      <c r="F33" s="3">
        <v>74221.823719756911</v>
      </c>
      <c r="G33" s="3">
        <v>-12967.823719756911</v>
      </c>
      <c r="H33">
        <f t="shared" si="0"/>
        <v>61254</v>
      </c>
      <c r="I33">
        <f t="shared" si="1"/>
        <v>0.21170574525348404</v>
      </c>
      <c r="L33"/>
      <c r="O33" s="62"/>
      <c r="P33" s="63"/>
      <c r="Q33" s="63"/>
      <c r="R33" s="63"/>
      <c r="S33" s="64"/>
    </row>
    <row r="34" spans="1:19">
      <c r="A34" s="18" t="s">
        <v>74</v>
      </c>
      <c r="B34" s="25">
        <v>105440</v>
      </c>
      <c r="C34" s="29">
        <v>69546</v>
      </c>
      <c r="D34" s="21"/>
      <c r="E34" s="3">
        <v>9</v>
      </c>
      <c r="F34" s="3">
        <v>73462.050256226677</v>
      </c>
      <c r="G34" s="3">
        <v>-1969.0502562266774</v>
      </c>
      <c r="H34">
        <f t="shared" si="0"/>
        <v>71493</v>
      </c>
      <c r="I34">
        <f t="shared" si="1"/>
        <v>2.7541860828705991E-2</v>
      </c>
      <c r="L34"/>
      <c r="O34" s="45"/>
    </row>
    <row r="35" spans="1:19">
      <c r="A35" s="18" t="s">
        <v>91</v>
      </c>
      <c r="B35" s="25">
        <v>80066</v>
      </c>
      <c r="C35" s="29">
        <v>62975</v>
      </c>
      <c r="D35" s="21"/>
      <c r="E35" s="3">
        <v>10</v>
      </c>
      <c r="F35" s="3">
        <v>68733.705976019104</v>
      </c>
      <c r="G35" s="3">
        <v>-5380.7059760191041</v>
      </c>
      <c r="H35">
        <f t="shared" si="0"/>
        <v>63353</v>
      </c>
      <c r="I35">
        <f t="shared" si="1"/>
        <v>8.493214174575954E-2</v>
      </c>
      <c r="L35"/>
      <c r="O35" s="14"/>
    </row>
    <row r="36" spans="1:19">
      <c r="A36" s="18" t="s">
        <v>62</v>
      </c>
      <c r="B36" s="25">
        <v>113585</v>
      </c>
      <c r="C36" s="29">
        <v>76770</v>
      </c>
      <c r="D36" s="21"/>
      <c r="E36" s="3">
        <v>11</v>
      </c>
      <c r="F36" s="3">
        <v>74036.551092379668</v>
      </c>
      <c r="G36" s="3">
        <v>4758.4489076203317</v>
      </c>
      <c r="H36">
        <f t="shared" si="0"/>
        <v>78795</v>
      </c>
      <c r="I36">
        <f t="shared" si="1"/>
        <v>6.0390239325088288E-2</v>
      </c>
      <c r="L36"/>
      <c r="O36" s="14"/>
    </row>
    <row r="37" spans="1:19">
      <c r="A37" s="18" t="s">
        <v>82</v>
      </c>
      <c r="B37" s="25">
        <v>92297</v>
      </c>
      <c r="C37" s="29">
        <v>65404</v>
      </c>
      <c r="D37" s="21"/>
      <c r="E37" s="3">
        <v>12</v>
      </c>
      <c r="F37" s="3">
        <v>72007.374697295512</v>
      </c>
      <c r="G37" s="3">
        <v>13182.625302704488</v>
      </c>
      <c r="H37">
        <f t="shared" si="0"/>
        <v>85190</v>
      </c>
      <c r="I37">
        <f t="shared" si="1"/>
        <v>0.15474381151196723</v>
      </c>
      <c r="L37"/>
      <c r="O37" s="14"/>
    </row>
    <row r="38" spans="1:19">
      <c r="A38" s="18" t="s">
        <v>87</v>
      </c>
      <c r="B38" s="25">
        <v>74419</v>
      </c>
      <c r="C38" s="29">
        <v>64059</v>
      </c>
      <c r="D38" s="21"/>
      <c r="E38" s="3">
        <v>13</v>
      </c>
      <c r="F38" s="3">
        <v>68104.194219692494</v>
      </c>
      <c r="G38" s="3">
        <v>-18382.194219692494</v>
      </c>
      <c r="H38">
        <f t="shared" si="0"/>
        <v>49722</v>
      </c>
      <c r="I38">
        <f t="shared" si="1"/>
        <v>0.36969941313085747</v>
      </c>
      <c r="L38"/>
      <c r="O38" s="14"/>
    </row>
    <row r="39" spans="1:19">
      <c r="A39" s="18" t="s">
        <v>108</v>
      </c>
      <c r="B39" s="25">
        <v>77534</v>
      </c>
      <c r="C39" s="29">
        <v>56134</v>
      </c>
      <c r="D39" s="21"/>
      <c r="E39" s="3">
        <v>14</v>
      </c>
      <c r="F39" s="3">
        <v>70033.728193330055</v>
      </c>
      <c r="G39" s="3">
        <v>17120.271806669945</v>
      </c>
      <c r="H39">
        <f t="shared" si="0"/>
        <v>87154</v>
      </c>
      <c r="I39">
        <f t="shared" si="1"/>
        <v>0.19643701731039248</v>
      </c>
      <c r="L39"/>
      <c r="O39" s="14"/>
    </row>
    <row r="40" spans="1:19">
      <c r="A40" s="18" t="s">
        <v>102</v>
      </c>
      <c r="B40" s="25">
        <v>76315</v>
      </c>
      <c r="C40" s="29">
        <v>57468</v>
      </c>
      <c r="D40" s="21"/>
      <c r="E40" s="3">
        <v>15</v>
      </c>
      <c r="F40" s="3">
        <v>66564.926396720737</v>
      </c>
      <c r="G40" s="3">
        <v>-20057.926396720737</v>
      </c>
      <c r="H40">
        <f t="shared" si="0"/>
        <v>46507</v>
      </c>
      <c r="I40">
        <f t="shared" si="1"/>
        <v>0.43128833071840234</v>
      </c>
      <c r="L40"/>
      <c r="O40" s="14"/>
    </row>
    <row r="41" spans="1:19">
      <c r="A41" s="18" t="s">
        <v>64</v>
      </c>
      <c r="B41" s="25">
        <v>107695</v>
      </c>
      <c r="C41" s="29">
        <v>74845</v>
      </c>
      <c r="D41" s="21"/>
      <c r="E41" s="3">
        <v>16</v>
      </c>
      <c r="F41" s="3">
        <v>88249.089393089205</v>
      </c>
      <c r="G41" s="3">
        <v>-21641.089393089205</v>
      </c>
      <c r="H41">
        <f t="shared" si="0"/>
        <v>66608</v>
      </c>
      <c r="I41">
        <f t="shared" si="1"/>
        <v>0.32490225488063301</v>
      </c>
      <c r="L41"/>
      <c r="O41" s="14"/>
    </row>
    <row r="42" spans="1:19">
      <c r="A42" s="18" t="s">
        <v>51</v>
      </c>
      <c r="B42" s="25">
        <v>134478</v>
      </c>
      <c r="C42" s="29">
        <v>88920</v>
      </c>
      <c r="D42" s="21"/>
      <c r="E42" s="3">
        <v>17</v>
      </c>
      <c r="F42" s="3">
        <v>70521.041910717264</v>
      </c>
      <c r="G42" s="3">
        <v>3675.9580892827362</v>
      </c>
      <c r="H42">
        <f t="shared" si="0"/>
        <v>74197</v>
      </c>
      <c r="I42">
        <f t="shared" si="1"/>
        <v>4.9543217236313275E-2</v>
      </c>
      <c r="L42"/>
      <c r="O42" s="14"/>
    </row>
    <row r="43" spans="1:19">
      <c r="A43" s="18" t="s">
        <v>112</v>
      </c>
      <c r="B43" s="25">
        <v>70545</v>
      </c>
      <c r="C43" s="29">
        <v>54986</v>
      </c>
      <c r="D43" s="21"/>
      <c r="E43" s="3">
        <v>18</v>
      </c>
      <c r="F43" s="3">
        <v>94052.222500462842</v>
      </c>
      <c r="G43" s="3">
        <v>38657.777499537158</v>
      </c>
      <c r="H43">
        <f t="shared" si="0"/>
        <v>132710</v>
      </c>
      <c r="I43">
        <f t="shared" si="1"/>
        <v>0.29129513600736312</v>
      </c>
      <c r="L43"/>
      <c r="O43" s="14"/>
    </row>
    <row r="44" spans="1:19">
      <c r="A44" s="18" t="s">
        <v>107</v>
      </c>
      <c r="B44" s="25">
        <v>61750</v>
      </c>
      <c r="C44" s="29">
        <v>56301</v>
      </c>
      <c r="D44" s="21"/>
      <c r="E44" s="3">
        <v>19</v>
      </c>
      <c r="F44" s="3">
        <v>63829.430545444899</v>
      </c>
      <c r="G44" s="3">
        <v>-15341.430545444899</v>
      </c>
      <c r="H44">
        <f t="shared" si="0"/>
        <v>48488</v>
      </c>
      <c r="I44">
        <f t="shared" si="1"/>
        <v>0.31639643923125099</v>
      </c>
      <c r="L44"/>
      <c r="O44" s="14"/>
    </row>
    <row r="45" spans="1:19">
      <c r="A45" s="18" t="s">
        <v>88</v>
      </c>
      <c r="B45" s="25">
        <v>84262</v>
      </c>
      <c r="C45" s="29">
        <v>63529</v>
      </c>
      <c r="D45" s="21"/>
      <c r="E45" s="3">
        <v>20</v>
      </c>
      <c r="F45" s="3">
        <v>72332.250508886995</v>
      </c>
      <c r="G45" s="3">
        <v>5869.7494911130052</v>
      </c>
      <c r="H45">
        <f t="shared" si="0"/>
        <v>78202</v>
      </c>
      <c r="I45">
        <f t="shared" si="1"/>
        <v>7.5058815517672253E-2</v>
      </c>
      <c r="L45"/>
      <c r="O45" s="14"/>
    </row>
    <row r="46" spans="1:19">
      <c r="A46" s="18" t="s">
        <v>76</v>
      </c>
      <c r="B46" s="25">
        <v>90667</v>
      </c>
      <c r="C46" s="29">
        <v>67579</v>
      </c>
      <c r="D46" s="21"/>
      <c r="E46" s="3">
        <v>21</v>
      </c>
      <c r="F46" s="3">
        <v>72040.06986683268</v>
      </c>
      <c r="G46" s="3">
        <v>-13785.06986683268</v>
      </c>
      <c r="H46">
        <f t="shared" si="0"/>
        <v>58255</v>
      </c>
      <c r="I46">
        <f t="shared" si="1"/>
        <v>0.23663324807883754</v>
      </c>
      <c r="L46"/>
      <c r="O46" s="14"/>
    </row>
    <row r="47" spans="1:19">
      <c r="A47" s="18" t="s">
        <v>68</v>
      </c>
      <c r="B47" s="25">
        <v>73536</v>
      </c>
      <c r="C47" s="29">
        <v>72926</v>
      </c>
      <c r="D47" s="21"/>
      <c r="E47" s="3">
        <v>22</v>
      </c>
      <c r="F47" s="3">
        <v>66375.502001783214</v>
      </c>
      <c r="G47" s="3">
        <v>-9477.5020017832139</v>
      </c>
      <c r="H47">
        <f t="shared" si="0"/>
        <v>56898</v>
      </c>
      <c r="I47">
        <f t="shared" si="1"/>
        <v>0.16657003764250439</v>
      </c>
      <c r="L47"/>
      <c r="O47" s="14"/>
    </row>
    <row r="48" spans="1:19">
      <c r="A48" s="18" t="s">
        <v>118</v>
      </c>
      <c r="B48" s="25">
        <v>64100</v>
      </c>
      <c r="C48" s="29">
        <v>44639</v>
      </c>
      <c r="D48" s="21"/>
      <c r="E48" s="3">
        <v>23</v>
      </c>
      <c r="F48" s="3">
        <v>124683.96356016782</v>
      </c>
      <c r="G48" s="3">
        <v>-54273.963560167816</v>
      </c>
      <c r="H48">
        <f t="shared" si="0"/>
        <v>70410</v>
      </c>
      <c r="I48">
        <f t="shared" si="1"/>
        <v>0.77082748984757588</v>
      </c>
      <c r="L48"/>
      <c r="O48" s="14"/>
    </row>
    <row r="49" spans="1:15">
      <c r="A49" s="18" t="s">
        <v>120</v>
      </c>
      <c r="B49" s="25">
        <v>24816</v>
      </c>
      <c r="C49" s="29">
        <v>40588</v>
      </c>
      <c r="D49" s="21"/>
      <c r="E49" s="3">
        <v>24</v>
      </c>
      <c r="F49" s="3">
        <v>85081.290744599799</v>
      </c>
      <c r="G49" s="3">
        <v>9944.7092554002011</v>
      </c>
      <c r="H49">
        <f t="shared" si="0"/>
        <v>95026</v>
      </c>
      <c r="I49">
        <f t="shared" si="1"/>
        <v>0.10465250831772568</v>
      </c>
      <c r="L49"/>
      <c r="O49" s="14"/>
    </row>
    <row r="50" spans="1:15">
      <c r="A50" s="18" t="s">
        <v>114</v>
      </c>
      <c r="B50" s="25">
        <v>40166</v>
      </c>
      <c r="C50" s="29">
        <v>49162</v>
      </c>
      <c r="D50" s="21"/>
      <c r="E50" s="3">
        <v>25</v>
      </c>
      <c r="F50" s="3">
        <v>58099.472341321103</v>
      </c>
      <c r="G50" s="3">
        <v>5109.5276586788968</v>
      </c>
      <c r="H50">
        <f t="shared" si="0"/>
        <v>63209</v>
      </c>
      <c r="I50">
        <f t="shared" si="1"/>
        <v>8.0835445247969387E-2</v>
      </c>
      <c r="L50"/>
      <c r="O50" s="14"/>
    </row>
    <row r="51" spans="1:15">
      <c r="A51" s="18" t="s">
        <v>65</v>
      </c>
      <c r="B51" s="25">
        <v>120273</v>
      </c>
      <c r="C51" s="29">
        <v>74210</v>
      </c>
      <c r="D51" s="21"/>
      <c r="E51" s="3">
        <v>26</v>
      </c>
      <c r="F51" s="3">
        <v>65679.042993547162</v>
      </c>
      <c r="G51" s="3">
        <v>-552.04299354716204</v>
      </c>
      <c r="H51">
        <f t="shared" si="0"/>
        <v>65127</v>
      </c>
      <c r="I51">
        <f t="shared" si="1"/>
        <v>8.4764075352336526E-3</v>
      </c>
      <c r="L51"/>
      <c r="O51" s="14"/>
    </row>
    <row r="52" spans="1:15">
      <c r="A52" s="18" t="s">
        <v>52</v>
      </c>
      <c r="B52" s="25">
        <v>96407</v>
      </c>
      <c r="C52" s="29">
        <v>88854</v>
      </c>
      <c r="D52" s="21"/>
      <c r="E52" s="3">
        <v>27</v>
      </c>
      <c r="F52" s="3">
        <v>70120.396341150772</v>
      </c>
      <c r="G52" s="3">
        <v>11905.603658849228</v>
      </c>
      <c r="H52">
        <f t="shared" si="0"/>
        <v>82026</v>
      </c>
      <c r="I52">
        <f t="shared" si="1"/>
        <v>0.14514426716954659</v>
      </c>
      <c r="L52"/>
      <c r="O52" s="14"/>
    </row>
    <row r="53" spans="1:15">
      <c r="A53" s="18" t="s">
        <v>109</v>
      </c>
      <c r="B53" s="25">
        <v>89422</v>
      </c>
      <c r="C53" s="29">
        <v>55310</v>
      </c>
      <c r="D53" s="21"/>
      <c r="E53" s="3">
        <v>28</v>
      </c>
      <c r="F53" s="3">
        <v>77046.582573578649</v>
      </c>
      <c r="G53" s="3">
        <v>-9296.5825735786493</v>
      </c>
      <c r="H53">
        <f t="shared" si="0"/>
        <v>67750</v>
      </c>
      <c r="I53">
        <f t="shared" si="1"/>
        <v>0.13721893097533061</v>
      </c>
      <c r="L53"/>
      <c r="O53" s="14"/>
    </row>
    <row r="54" spans="1:15">
      <c r="A54" s="18" t="s">
        <v>95</v>
      </c>
      <c r="B54" s="25">
        <v>52294</v>
      </c>
      <c r="C54" s="29">
        <v>60998</v>
      </c>
      <c r="D54" s="21"/>
      <c r="E54" s="3">
        <v>29</v>
      </c>
      <c r="F54" s="3">
        <v>96619.57176554756</v>
      </c>
      <c r="G54" s="3">
        <v>60261.42823445244</v>
      </c>
      <c r="H54">
        <f t="shared" si="0"/>
        <v>156881</v>
      </c>
      <c r="I54">
        <f t="shared" si="1"/>
        <v>0.38412190280819503</v>
      </c>
      <c r="L54"/>
      <c r="O54" s="14"/>
    </row>
    <row r="55" spans="1:15">
      <c r="A55" s="18" t="s">
        <v>104</v>
      </c>
      <c r="B55" s="25">
        <v>52126</v>
      </c>
      <c r="C55" s="29">
        <v>57133</v>
      </c>
      <c r="D55" s="21"/>
      <c r="E55" s="3">
        <v>30</v>
      </c>
      <c r="F55" s="3">
        <v>86269.734208728361</v>
      </c>
      <c r="G55" s="3">
        <v>12935.265791271639</v>
      </c>
      <c r="H55">
        <f t="shared" si="0"/>
        <v>99205</v>
      </c>
      <c r="I55">
        <f t="shared" si="1"/>
        <v>0.1303892524698517</v>
      </c>
      <c r="L55"/>
      <c r="O55" s="14"/>
    </row>
    <row r="56" spans="1:15">
      <c r="A56" s="18" t="s">
        <v>43</v>
      </c>
      <c r="B56" s="25">
        <v>118877</v>
      </c>
      <c r="C56" s="29">
        <v>126868</v>
      </c>
      <c r="D56" s="21"/>
      <c r="E56" s="3">
        <v>31</v>
      </c>
      <c r="F56" s="3">
        <v>101877.26640969014</v>
      </c>
      <c r="G56" s="3">
        <v>12399.733590309857</v>
      </c>
      <c r="H56">
        <f t="shared" si="0"/>
        <v>114277</v>
      </c>
      <c r="I56">
        <f t="shared" si="1"/>
        <v>0.10850594249332637</v>
      </c>
      <c r="L56"/>
      <c r="O56" s="14"/>
    </row>
    <row r="57" spans="1:15">
      <c r="A57" s="18" t="s">
        <v>116</v>
      </c>
      <c r="B57" s="25">
        <v>58610</v>
      </c>
      <c r="C57" s="29">
        <v>48163</v>
      </c>
      <c r="D57" s="21"/>
      <c r="E57" s="3">
        <v>32</v>
      </c>
      <c r="F57" s="3">
        <v>78200.773955334938</v>
      </c>
      <c r="G57" s="3">
        <v>57005.226044665062</v>
      </c>
      <c r="H57">
        <f t="shared" si="0"/>
        <v>135206</v>
      </c>
      <c r="I57">
        <f t="shared" si="1"/>
        <v>0.4216175764734188</v>
      </c>
      <c r="L57"/>
      <c r="O57" s="14"/>
    </row>
    <row r="58" spans="1:15">
      <c r="A58" s="18" t="s">
        <v>63</v>
      </c>
      <c r="B58" s="25">
        <v>114065</v>
      </c>
      <c r="C58" s="29">
        <v>75764</v>
      </c>
      <c r="D58" s="21"/>
      <c r="E58" s="3">
        <v>33</v>
      </c>
      <c r="F58" s="3">
        <v>83598.590754636782</v>
      </c>
      <c r="G58" s="3">
        <v>-14052.590754636782</v>
      </c>
      <c r="H58">
        <f t="shared" si="0"/>
        <v>69546</v>
      </c>
      <c r="I58">
        <f t="shared" si="1"/>
        <v>0.2020618116733785</v>
      </c>
      <c r="L58"/>
      <c r="O58" s="14"/>
    </row>
    <row r="59" spans="1:15">
      <c r="A59" s="18" t="s">
        <v>78</v>
      </c>
      <c r="B59" s="25">
        <v>58383</v>
      </c>
      <c r="C59" s="29">
        <v>67541</v>
      </c>
      <c r="D59" s="21"/>
      <c r="E59" s="3">
        <v>34</v>
      </c>
      <c r="F59" s="3">
        <v>70430.221995336266</v>
      </c>
      <c r="G59" s="3">
        <v>-7455.2219953362655</v>
      </c>
      <c r="H59">
        <f t="shared" si="0"/>
        <v>62975</v>
      </c>
      <c r="I59">
        <f t="shared" si="1"/>
        <v>0.11838383478104431</v>
      </c>
      <c r="L59"/>
      <c r="O59" s="14"/>
    </row>
    <row r="60" spans="1:15">
      <c r="A60" s="18" t="s">
        <v>69</v>
      </c>
      <c r="B60" s="25">
        <v>64698</v>
      </c>
      <c r="C60" s="29">
        <v>71616</v>
      </c>
      <c r="D60" s="21"/>
      <c r="E60" s="3">
        <v>35</v>
      </c>
      <c r="F60" s="3">
        <v>87825.609101941227</v>
      </c>
      <c r="G60" s="3">
        <v>-11055.609101941227</v>
      </c>
      <c r="H60">
        <f t="shared" si="0"/>
        <v>76770</v>
      </c>
      <c r="I60">
        <f t="shared" si="1"/>
        <v>0.14400949722471312</v>
      </c>
      <c r="L60"/>
      <c r="O60" s="14"/>
    </row>
    <row r="61" spans="1:15">
      <c r="A61" s="18" t="s">
        <v>93</v>
      </c>
      <c r="B61" s="25">
        <v>106713</v>
      </c>
      <c r="C61" s="29">
        <v>62482</v>
      </c>
      <c r="D61" s="21"/>
      <c r="E61" s="3">
        <v>36</v>
      </c>
      <c r="F61" s="3">
        <v>76777.755624050886</v>
      </c>
      <c r="G61" s="3">
        <v>-11373.755624050886</v>
      </c>
      <c r="H61">
        <f t="shared" si="0"/>
        <v>65404</v>
      </c>
      <c r="I61">
        <f t="shared" si="1"/>
        <v>0.17390000036772804</v>
      </c>
      <c r="L61"/>
      <c r="O61" s="14"/>
    </row>
    <row r="62" spans="1:15">
      <c r="A62" s="18" t="s">
        <v>86</v>
      </c>
      <c r="B62" s="25">
        <v>75112</v>
      </c>
      <c r="C62" s="29">
        <v>64455</v>
      </c>
      <c r="D62" s="21"/>
      <c r="E62" s="3">
        <v>37</v>
      </c>
      <c r="F62" s="3">
        <v>67499.593068727525</v>
      </c>
      <c r="G62" s="3">
        <v>-3440.593068727525</v>
      </c>
      <c r="H62">
        <f t="shared" si="0"/>
        <v>64059</v>
      </c>
      <c r="I62">
        <f t="shared" si="1"/>
        <v>5.3709753020301988E-2</v>
      </c>
      <c r="L62"/>
      <c r="O62" s="14"/>
    </row>
    <row r="63" spans="1:15">
      <c r="A63" s="18" t="s">
        <v>73</v>
      </c>
      <c r="B63" s="25">
        <v>87081</v>
      </c>
      <c r="C63" s="29">
        <v>70393</v>
      </c>
      <c r="D63" s="21"/>
      <c r="E63" s="3">
        <v>38</v>
      </c>
      <c r="F63" s="3">
        <v>69116.187562509382</v>
      </c>
      <c r="G63" s="3">
        <v>-12982.187562509382</v>
      </c>
      <c r="H63">
        <f t="shared" si="0"/>
        <v>56134</v>
      </c>
      <c r="I63">
        <f t="shared" si="1"/>
        <v>0.23127137853189478</v>
      </c>
      <c r="L63"/>
      <c r="O63" s="14"/>
    </row>
    <row r="64" spans="1:15">
      <c r="A64" s="18" t="s">
        <v>99</v>
      </c>
      <c r="B64" s="25">
        <v>65624</v>
      </c>
      <c r="C64" s="29">
        <v>58626</v>
      </c>
      <c r="D64" s="21"/>
      <c r="E64" s="3">
        <v>39</v>
      </c>
      <c r="F64" s="3">
        <v>68483.561980512575</v>
      </c>
      <c r="G64" s="3">
        <v>-11015.561980512575</v>
      </c>
      <c r="H64">
        <f t="shared" si="0"/>
        <v>57468</v>
      </c>
      <c r="I64">
        <f t="shared" si="1"/>
        <v>0.19168166597954645</v>
      </c>
      <c r="L64"/>
      <c r="O64" s="14"/>
    </row>
    <row r="65" spans="1:15">
      <c r="A65" s="18" t="s">
        <v>42</v>
      </c>
      <c r="B65" s="25">
        <v>133994</v>
      </c>
      <c r="C65" s="29">
        <v>130360</v>
      </c>
      <c r="D65" s="21"/>
      <c r="E65" s="3">
        <v>40</v>
      </c>
      <c r="F65" s="3">
        <v>84768.870235689144</v>
      </c>
      <c r="G65" s="3">
        <v>-9923.8702356891445</v>
      </c>
      <c r="H65">
        <f t="shared" si="0"/>
        <v>74845</v>
      </c>
      <c r="I65">
        <f t="shared" si="1"/>
        <v>0.13259229388321389</v>
      </c>
      <c r="L65"/>
      <c r="O65" s="14"/>
    </row>
    <row r="66" spans="1:15">
      <c r="A66" s="18" t="s">
        <v>58</v>
      </c>
      <c r="B66" s="25">
        <v>158779</v>
      </c>
      <c r="C66" s="29">
        <v>79079</v>
      </c>
      <c r="D66" s="21"/>
      <c r="E66" s="3">
        <v>41</v>
      </c>
      <c r="F66" s="3">
        <v>98668.469056543021</v>
      </c>
      <c r="G66" s="3">
        <v>-9748.469056543021</v>
      </c>
      <c r="H66">
        <f t="shared" si="0"/>
        <v>88920</v>
      </c>
      <c r="I66">
        <f t="shared" si="1"/>
        <v>0.1096319057191073</v>
      </c>
      <c r="L66"/>
      <c r="O66" s="14"/>
    </row>
    <row r="67" spans="1:15">
      <c r="A67" s="18" t="s">
        <v>97</v>
      </c>
      <c r="B67" s="25">
        <v>59996</v>
      </c>
      <c r="C67" s="29">
        <v>60415</v>
      </c>
      <c r="D67" s="21"/>
      <c r="E67" s="3">
        <v>42</v>
      </c>
      <c r="F67" s="3">
        <v>65489.099627664611</v>
      </c>
      <c r="G67" s="3">
        <v>-10503.099627664611</v>
      </c>
      <c r="H67">
        <f t="shared" si="0"/>
        <v>54986</v>
      </c>
      <c r="I67">
        <f t="shared" si="1"/>
        <v>0.19101406953887556</v>
      </c>
      <c r="L67"/>
      <c r="O67" s="14"/>
    </row>
    <row r="68" spans="1:15">
      <c r="A68" s="18" t="s">
        <v>103</v>
      </c>
      <c r="B68" s="25">
        <v>90020</v>
      </c>
      <c r="C68" s="29">
        <v>57183</v>
      </c>
      <c r="D68" s="21"/>
      <c r="E68" s="3">
        <v>43</v>
      </c>
      <c r="F68" s="3">
        <v>60924.750166087877</v>
      </c>
      <c r="G68" s="3">
        <v>-4623.750166087877</v>
      </c>
      <c r="H68">
        <f t="shared" si="0"/>
        <v>56301</v>
      </c>
      <c r="I68">
        <f t="shared" si="1"/>
        <v>8.2125542460842207E-2</v>
      </c>
      <c r="L68"/>
      <c r="O68" s="14"/>
    </row>
    <row r="69" spans="1:15">
      <c r="A69" s="18" t="s">
        <v>111</v>
      </c>
      <c r="B69" s="25">
        <v>74538</v>
      </c>
      <c r="C69" s="29">
        <v>55168</v>
      </c>
      <c r="D69" s="21"/>
      <c r="E69" s="3">
        <v>44</v>
      </c>
      <c r="F69" s="3">
        <v>72607.824080700215</v>
      </c>
      <c r="G69" s="3">
        <v>-9078.8240807002148</v>
      </c>
      <c r="H69">
        <f t="shared" si="0"/>
        <v>63529</v>
      </c>
      <c r="I69">
        <f t="shared" si="1"/>
        <v>0.14290834234287042</v>
      </c>
      <c r="L69"/>
      <c r="O69" s="14"/>
    </row>
    <row r="70" spans="1:15">
      <c r="A70" s="18" t="s">
        <v>85</v>
      </c>
      <c r="B70" s="25">
        <v>76218</v>
      </c>
      <c r="C70" s="29">
        <v>64706</v>
      </c>
      <c r="D70" s="21"/>
      <c r="E70" s="3">
        <v>45</v>
      </c>
      <c r="F70" s="3">
        <v>75931.832983644956</v>
      </c>
      <c r="G70" s="3">
        <v>-8352.8329836449557</v>
      </c>
      <c r="H70">
        <f t="shared" si="0"/>
        <v>67579</v>
      </c>
      <c r="I70">
        <f t="shared" si="1"/>
        <v>0.12360101486622997</v>
      </c>
      <c r="L70"/>
      <c r="O70" s="14"/>
    </row>
    <row r="71" spans="1:15">
      <c r="A71" s="18" t="s">
        <v>60</v>
      </c>
      <c r="B71" s="25">
        <v>70818</v>
      </c>
      <c r="C71" s="29">
        <v>78524</v>
      </c>
      <c r="D71" s="21"/>
      <c r="E71" s="3">
        <v>46</v>
      </c>
      <c r="F71" s="3">
        <v>67041.341724262224</v>
      </c>
      <c r="G71" s="3">
        <v>5884.6582757377764</v>
      </c>
      <c r="H71">
        <f t="shared" si="0"/>
        <v>72926</v>
      </c>
      <c r="I71">
        <f t="shared" si="1"/>
        <v>8.0693556149216694E-2</v>
      </c>
      <c r="L71"/>
      <c r="O71" s="14"/>
    </row>
    <row r="72" spans="1:15">
      <c r="A72" s="18" t="s">
        <v>67</v>
      </c>
      <c r="B72" s="25">
        <v>79125</v>
      </c>
      <c r="C72" s="29">
        <v>73868</v>
      </c>
      <c r="D72" s="21"/>
      <c r="E72" s="3">
        <v>47</v>
      </c>
      <c r="F72" s="3">
        <v>62144.331886918502</v>
      </c>
      <c r="G72" s="3">
        <v>-17505.331886918502</v>
      </c>
      <c r="H72">
        <f t="shared" si="0"/>
        <v>44639</v>
      </c>
      <c r="I72">
        <f t="shared" si="1"/>
        <v>0.39215331631350392</v>
      </c>
      <c r="L72"/>
      <c r="O72" s="14"/>
    </row>
    <row r="73" spans="1:15">
      <c r="A73" s="18" t="s">
        <v>45</v>
      </c>
      <c r="B73" s="25">
        <v>119041</v>
      </c>
      <c r="C73" s="29">
        <v>121907</v>
      </c>
      <c r="D73" s="21"/>
      <c r="E73" s="3">
        <v>48</v>
      </c>
      <c r="F73" s="3">
        <v>41757.077282190759</v>
      </c>
      <c r="G73" s="3">
        <v>-1169.0772821907594</v>
      </c>
      <c r="H73">
        <f t="shared" si="0"/>
        <v>40588</v>
      </c>
      <c r="I73">
        <f t="shared" si="1"/>
        <v>2.8803520306266862E-2</v>
      </c>
      <c r="L73"/>
      <c r="O73" s="14"/>
    </row>
    <row r="74" spans="1:15">
      <c r="A74" s="18" t="s">
        <v>77</v>
      </c>
      <c r="B74" s="25">
        <v>85129</v>
      </c>
      <c r="C74" s="29">
        <v>67561</v>
      </c>
      <c r="D74" s="21"/>
      <c r="E74" s="3">
        <v>49</v>
      </c>
      <c r="F74" s="3">
        <v>49723.281288467377</v>
      </c>
      <c r="G74" s="3">
        <v>-561.28128846737673</v>
      </c>
      <c r="H74">
        <f t="shared" si="0"/>
        <v>49162</v>
      </c>
      <c r="I74">
        <f t="shared" si="1"/>
        <v>1.1416974257910108E-2</v>
      </c>
      <c r="L74"/>
      <c r="O74" s="14"/>
    </row>
    <row r="75" spans="1:15">
      <c r="A75" s="18" t="s">
        <v>98</v>
      </c>
      <c r="B75" s="25">
        <v>78123</v>
      </c>
      <c r="C75" s="29">
        <v>59743</v>
      </c>
      <c r="D75" s="21"/>
      <c r="E75" s="3">
        <v>50</v>
      </c>
      <c r="F75" s="3">
        <v>91296.48678233067</v>
      </c>
      <c r="G75" s="3">
        <v>-17086.48678233067</v>
      </c>
      <c r="H75">
        <f t="shared" si="0"/>
        <v>74210</v>
      </c>
      <c r="I75">
        <f t="shared" si="1"/>
        <v>0.23024507185461085</v>
      </c>
      <c r="L75"/>
      <c r="O75" s="14"/>
    </row>
    <row r="76" spans="1:15">
      <c r="A76" s="18" t="s">
        <v>50</v>
      </c>
      <c r="B76" s="25">
        <v>135821</v>
      </c>
      <c r="C76" s="29">
        <v>90296</v>
      </c>
      <c r="D76" s="21"/>
      <c r="E76" s="3">
        <v>51</v>
      </c>
      <c r="F76" s="3">
        <v>78910.726208141888</v>
      </c>
      <c r="G76" s="3">
        <v>9943.2737918581115</v>
      </c>
      <c r="H76">
        <f t="shared" si="0"/>
        <v>88854</v>
      </c>
      <c r="I76">
        <f t="shared" si="1"/>
        <v>0.11190575316652161</v>
      </c>
      <c r="L76"/>
      <c r="O76" s="14"/>
    </row>
    <row r="77" spans="1:15">
      <c r="A77" s="18" t="s">
        <v>44</v>
      </c>
      <c r="B77" s="25">
        <v>112512</v>
      </c>
      <c r="C77" s="29">
        <v>124744</v>
      </c>
      <c r="D77" s="21"/>
      <c r="E77" s="3">
        <v>52</v>
      </c>
      <c r="F77" s="3">
        <v>75285.714157077251</v>
      </c>
      <c r="G77" s="3">
        <v>-19975.714157077251</v>
      </c>
      <c r="H77">
        <f t="shared" si="0"/>
        <v>55310</v>
      </c>
      <c r="I77">
        <f t="shared" si="1"/>
        <v>0.36115917839590039</v>
      </c>
      <c r="L77"/>
      <c r="O77" s="14"/>
    </row>
    <row r="78" spans="1:15">
      <c r="A78" s="18" t="s">
        <v>71</v>
      </c>
      <c r="B78" s="25">
        <v>90766</v>
      </c>
      <c r="C78" s="29">
        <v>70946</v>
      </c>
      <c r="D78" s="21"/>
      <c r="E78" s="3">
        <v>53</v>
      </c>
      <c r="F78" s="3">
        <v>56017.360909843468</v>
      </c>
      <c r="G78" s="3">
        <v>4980.6390901565319</v>
      </c>
      <c r="H78">
        <f t="shared" si="0"/>
        <v>60998</v>
      </c>
      <c r="I78">
        <f t="shared" si="1"/>
        <v>8.1652498281198263E-2</v>
      </c>
      <c r="L78"/>
      <c r="O78" s="14"/>
    </row>
    <row r="79" spans="1:15">
      <c r="A79" s="18" t="s">
        <v>119</v>
      </c>
      <c r="B79" s="25">
        <v>57057</v>
      </c>
      <c r="C79" s="29">
        <v>41840</v>
      </c>
      <c r="D79" s="21"/>
      <c r="E79" s="3">
        <v>54</v>
      </c>
      <c r="F79" s="3">
        <v>55930.173791077701</v>
      </c>
      <c r="G79" s="3">
        <v>1202.826208922299</v>
      </c>
      <c r="H79">
        <f t="shared" si="0"/>
        <v>57133</v>
      </c>
      <c r="I79">
        <f t="shared" si="1"/>
        <v>2.1053090314219435E-2</v>
      </c>
      <c r="L79"/>
      <c r="O79" s="14"/>
    </row>
    <row r="80" spans="1:15">
      <c r="A80" s="18" t="s">
        <v>96</v>
      </c>
      <c r="B80" s="25">
        <v>72932</v>
      </c>
      <c r="C80" s="29">
        <v>60844</v>
      </c>
      <c r="D80" s="21"/>
      <c r="E80" s="3">
        <v>55</v>
      </c>
      <c r="F80" s="3">
        <v>90572.003343062766</v>
      </c>
      <c r="G80" s="3">
        <v>36295.996656937234</v>
      </c>
      <c r="H80">
        <f t="shared" si="0"/>
        <v>126868</v>
      </c>
      <c r="I80">
        <f t="shared" si="1"/>
        <v>0.28609260536098335</v>
      </c>
      <c r="L80"/>
      <c r="O80" s="14"/>
    </row>
    <row r="81" spans="1:15">
      <c r="A81" s="18" t="s">
        <v>36</v>
      </c>
      <c r="B81" s="25">
        <v>106794</v>
      </c>
      <c r="C81" s="29">
        <v>188561</v>
      </c>
      <c r="D81" s="21"/>
      <c r="E81" s="3">
        <v>56</v>
      </c>
      <c r="F81" s="3">
        <v>59295.18139868015</v>
      </c>
      <c r="G81" s="3">
        <v>-11132.18139868015</v>
      </c>
      <c r="H81">
        <f t="shared" si="0"/>
        <v>48163</v>
      </c>
      <c r="I81">
        <f t="shared" si="1"/>
        <v>0.23113554800739466</v>
      </c>
      <c r="L81"/>
      <c r="O81" s="14"/>
    </row>
    <row r="82" spans="1:15">
      <c r="A82" s="18" t="s">
        <v>37</v>
      </c>
      <c r="B82" s="25">
        <v>134791</v>
      </c>
      <c r="C82" s="29">
        <v>163879</v>
      </c>
      <c r="D82" s="21"/>
      <c r="E82" s="3">
        <v>57</v>
      </c>
      <c r="F82" s="3">
        <v>88074.715155557686</v>
      </c>
      <c r="G82" s="3">
        <v>-12310.715155557686</v>
      </c>
      <c r="H82">
        <f t="shared" si="0"/>
        <v>75764</v>
      </c>
      <c r="I82">
        <f t="shared" si="1"/>
        <v>0.1624876610997002</v>
      </c>
      <c r="L82"/>
      <c r="O82" s="14"/>
    </row>
    <row r="83" spans="1:15">
      <c r="A83" s="18" t="s">
        <v>80</v>
      </c>
      <c r="B83" s="25">
        <v>84096</v>
      </c>
      <c r="C83" s="29">
        <v>66006</v>
      </c>
      <c r="D83" s="21"/>
      <c r="E83" s="3">
        <v>58</v>
      </c>
      <c r="F83" s="3">
        <v>59177.374994157362</v>
      </c>
      <c r="G83" s="3">
        <v>8363.6250058426376</v>
      </c>
      <c r="H83">
        <f t="shared" si="0"/>
        <v>67541</v>
      </c>
      <c r="I83">
        <f t="shared" si="1"/>
        <v>0.12383034017622833</v>
      </c>
      <c r="L83"/>
      <c r="O83" s="14"/>
    </row>
    <row r="84" spans="1:15">
      <c r="A84" s="18" t="s">
        <v>38</v>
      </c>
      <c r="B84" s="25">
        <v>307068</v>
      </c>
      <c r="C84" s="29">
        <v>162572</v>
      </c>
      <c r="D84" s="21"/>
      <c r="E84" s="3">
        <v>59</v>
      </c>
      <c r="F84" s="3">
        <v>62454.676512049016</v>
      </c>
      <c r="G84" s="3">
        <v>9161.3234879509837</v>
      </c>
      <c r="H84">
        <f t="shared" si="0"/>
        <v>71616</v>
      </c>
      <c r="I84">
        <f t="shared" si="1"/>
        <v>0.12792285924864533</v>
      </c>
      <c r="L84"/>
      <c r="O84" s="14"/>
    </row>
    <row r="85" spans="1:15">
      <c r="A85" s="18" t="s">
        <v>47</v>
      </c>
      <c r="B85" s="25">
        <v>174153</v>
      </c>
      <c r="C85" s="29">
        <v>110473</v>
      </c>
      <c r="D85" s="21"/>
      <c r="E85" s="3">
        <v>60</v>
      </c>
      <c r="F85" s="3">
        <v>84259.240767665455</v>
      </c>
      <c r="G85" s="3">
        <v>-21777.240767665455</v>
      </c>
      <c r="H85">
        <f t="shared" si="0"/>
        <v>62482</v>
      </c>
      <c r="I85">
        <f t="shared" si="1"/>
        <v>0.34853623071709378</v>
      </c>
      <c r="L85"/>
      <c r="O85" s="14"/>
    </row>
    <row r="86" spans="1:15" ht="17" thickBot="1">
      <c r="A86" s="19" t="s">
        <v>105</v>
      </c>
      <c r="B86" s="30">
        <v>94248</v>
      </c>
      <c r="C86" s="31">
        <v>56942</v>
      </c>
      <c r="D86" s="21"/>
      <c r="E86" s="3">
        <v>61</v>
      </c>
      <c r="F86" s="3">
        <v>67859.239933636301</v>
      </c>
      <c r="G86" s="3">
        <v>-3404.2399336363014</v>
      </c>
      <c r="H86">
        <f t="shared" si="0"/>
        <v>64455</v>
      </c>
      <c r="I86">
        <f t="shared" si="1"/>
        <v>5.2815761905768387E-2</v>
      </c>
      <c r="L86"/>
    </row>
    <row r="87" spans="1:15">
      <c r="E87" s="3">
        <v>62</v>
      </c>
      <c r="F87" s="3">
        <v>74070.803174751927</v>
      </c>
      <c r="G87" s="3">
        <v>-3677.8031747519271</v>
      </c>
      <c r="H87">
        <f t="shared" si="0"/>
        <v>70393</v>
      </c>
      <c r="I87">
        <f t="shared" si="1"/>
        <v>5.224671735473594E-2</v>
      </c>
      <c r="L87"/>
    </row>
    <row r="88" spans="1:15">
      <c r="E88" s="3">
        <v>63</v>
      </c>
      <c r="F88" s="3">
        <v>62935.243607150784</v>
      </c>
      <c r="G88" s="3">
        <v>-4309.2436071507836</v>
      </c>
      <c r="H88">
        <f t="shared" si="0"/>
        <v>58626</v>
      </c>
      <c r="I88">
        <f t="shared" si="1"/>
        <v>7.3503967644914944E-2</v>
      </c>
      <c r="L88"/>
    </row>
    <row r="89" spans="1:15">
      <c r="E89" s="3">
        <v>64</v>
      </c>
      <c r="F89" s="3">
        <v>98417.287119146407</v>
      </c>
      <c r="G89" s="3">
        <v>31942.712880853593</v>
      </c>
      <c r="H89">
        <f t="shared" si="0"/>
        <v>130360</v>
      </c>
      <c r="I89">
        <f t="shared" si="1"/>
        <v>0.2450346186012089</v>
      </c>
      <c r="L89"/>
    </row>
    <row r="90" spans="1:15">
      <c r="E90" s="3">
        <v>65</v>
      </c>
      <c r="F90" s="3">
        <v>111279.98199182173</v>
      </c>
      <c r="G90" s="3">
        <v>-32200.981991821725</v>
      </c>
      <c r="H90">
        <f t="shared" si="0"/>
        <v>79079</v>
      </c>
      <c r="I90">
        <f t="shared" si="1"/>
        <v>0.40720016681826687</v>
      </c>
      <c r="L90"/>
    </row>
    <row r="91" spans="1:15">
      <c r="E91" s="3">
        <v>66</v>
      </c>
      <c r="F91" s="3">
        <v>60014.475128497703</v>
      </c>
      <c r="G91" s="3">
        <v>400.52487150229717</v>
      </c>
      <c r="H91">
        <f t="shared" ref="H91:H110" si="2">G91+F91</f>
        <v>60415</v>
      </c>
      <c r="I91">
        <f t="shared" si="1"/>
        <v>6.6295600679019641E-3</v>
      </c>
      <c r="L91"/>
    </row>
    <row r="92" spans="1:15">
      <c r="E92" s="3">
        <v>67</v>
      </c>
      <c r="F92" s="3">
        <v>75596.05878220775</v>
      </c>
      <c r="G92" s="3">
        <v>-18413.05878220775</v>
      </c>
      <c r="H92">
        <f t="shared" si="2"/>
        <v>57183</v>
      </c>
      <c r="I92">
        <f t="shared" ref="I92:I110" si="3">ABS(G92/H92)</f>
        <v>0.32200232205739032</v>
      </c>
      <c r="L92"/>
    </row>
    <row r="93" spans="1:15">
      <c r="E93" s="3">
        <v>68</v>
      </c>
      <c r="F93" s="3">
        <v>67561.350611186615</v>
      </c>
      <c r="G93" s="3">
        <v>-12393.350611186615</v>
      </c>
      <c r="H93">
        <f t="shared" si="2"/>
        <v>55168</v>
      </c>
      <c r="I93">
        <f t="shared" si="3"/>
        <v>0.22464745162388733</v>
      </c>
      <c r="L93"/>
    </row>
    <row r="94" spans="1:15">
      <c r="E94" s="3">
        <v>69</v>
      </c>
      <c r="F94" s="3">
        <v>68433.221798844243</v>
      </c>
      <c r="G94" s="3">
        <v>-3727.2217988442426</v>
      </c>
      <c r="H94">
        <f t="shared" si="2"/>
        <v>64706</v>
      </c>
      <c r="I94">
        <f t="shared" si="3"/>
        <v>5.7602413977749241E-2</v>
      </c>
      <c r="L94"/>
    </row>
    <row r="95" spans="1:15">
      <c r="E95" s="3">
        <v>70</v>
      </c>
      <c r="F95" s="3">
        <v>65630.778695658984</v>
      </c>
      <c r="G95" s="3">
        <v>12893.221304341016</v>
      </c>
      <c r="H95">
        <f t="shared" si="2"/>
        <v>78524</v>
      </c>
      <c r="I95">
        <f t="shared" si="3"/>
        <v>0.16419465773955752</v>
      </c>
      <c r="L95"/>
    </row>
    <row r="96" spans="1:15">
      <c r="E96" s="3">
        <v>71</v>
      </c>
      <c r="F96" s="3">
        <v>69941.870336058972</v>
      </c>
      <c r="G96" s="3">
        <v>3926.1296639410284</v>
      </c>
      <c r="H96">
        <f t="shared" si="2"/>
        <v>73868</v>
      </c>
      <c r="I96">
        <f t="shared" si="3"/>
        <v>5.3150615475456603E-2</v>
      </c>
      <c r="L96"/>
    </row>
    <row r="97" spans="5:12">
      <c r="E97" s="3">
        <v>72</v>
      </c>
      <c r="F97" s="3">
        <v>90657.114578048408</v>
      </c>
      <c r="G97" s="3">
        <v>31249.885421951592</v>
      </c>
      <c r="H97">
        <f t="shared" si="2"/>
        <v>121907</v>
      </c>
      <c r="I97">
        <f t="shared" si="3"/>
        <v>0.25634201007285545</v>
      </c>
      <c r="L97"/>
    </row>
    <row r="98" spans="5:12">
      <c r="E98" s="3">
        <v>73</v>
      </c>
      <c r="F98" s="3">
        <v>73057.771890044969</v>
      </c>
      <c r="G98" s="3">
        <v>-5496.771890044969</v>
      </c>
      <c r="H98">
        <f t="shared" si="2"/>
        <v>67561</v>
      </c>
      <c r="I98">
        <f t="shared" si="3"/>
        <v>8.13601321775132E-2</v>
      </c>
      <c r="L98"/>
    </row>
    <row r="99" spans="5:12">
      <c r="E99" s="3">
        <v>74</v>
      </c>
      <c r="F99" s="3">
        <v>69421.861449134594</v>
      </c>
      <c r="G99" s="3">
        <v>-9678.8614491345943</v>
      </c>
      <c r="H99">
        <f t="shared" si="2"/>
        <v>59743</v>
      </c>
      <c r="I99">
        <f t="shared" si="3"/>
        <v>0.16200829300729114</v>
      </c>
      <c r="L99"/>
    </row>
    <row r="100" spans="5:12">
      <c r="E100" s="3">
        <v>75</v>
      </c>
      <c r="F100" s="3">
        <v>99365.447035724093</v>
      </c>
      <c r="G100" s="3">
        <v>-9069.4470357240934</v>
      </c>
      <c r="H100">
        <f t="shared" si="2"/>
        <v>90296</v>
      </c>
      <c r="I100">
        <f t="shared" si="3"/>
        <v>0.1004412934761683</v>
      </c>
      <c r="L100"/>
    </row>
    <row r="101" spans="5:12">
      <c r="E101" s="3">
        <v>76</v>
      </c>
      <c r="F101" s="3">
        <v>87268.753277919401</v>
      </c>
      <c r="G101" s="3">
        <v>37475.246722080599</v>
      </c>
      <c r="H101">
        <f t="shared" si="2"/>
        <v>124744</v>
      </c>
      <c r="I101">
        <f t="shared" si="3"/>
        <v>0.30041722826012152</v>
      </c>
      <c r="L101"/>
    </row>
    <row r="102" spans="5:12">
      <c r="E102" s="3">
        <v>77</v>
      </c>
      <c r="F102" s="3">
        <v>75983.211107203359</v>
      </c>
      <c r="G102" s="3">
        <v>-5037.2111072033586</v>
      </c>
      <c r="H102">
        <f t="shared" si="2"/>
        <v>70946</v>
      </c>
      <c r="I102">
        <f t="shared" si="3"/>
        <v>7.1000635796286737E-2</v>
      </c>
      <c r="L102"/>
    </row>
    <row r="103" spans="5:12">
      <c r="E103" s="3">
        <v>78</v>
      </c>
      <c r="F103" s="3">
        <v>58489.219521041872</v>
      </c>
      <c r="G103" s="3">
        <v>-16649.219521041872</v>
      </c>
      <c r="H103">
        <f t="shared" si="2"/>
        <v>41840</v>
      </c>
      <c r="I103">
        <f t="shared" si="3"/>
        <v>0.3979258967744233</v>
      </c>
      <c r="L103"/>
    </row>
    <row r="104" spans="5:12">
      <c r="E104" s="3">
        <v>79</v>
      </c>
      <c r="F104" s="3">
        <v>66727.883273461513</v>
      </c>
      <c r="G104" s="3">
        <v>-5883.8832734615135</v>
      </c>
      <c r="H104">
        <f t="shared" si="2"/>
        <v>60844</v>
      </c>
      <c r="I104">
        <f t="shared" si="3"/>
        <v>9.6704412488684402E-2</v>
      </c>
      <c r="L104"/>
    </row>
    <row r="105" spans="5:12">
      <c r="E105" s="3">
        <v>80</v>
      </c>
      <c r="F105" s="3">
        <v>84301.277414213226</v>
      </c>
      <c r="G105" s="3">
        <v>104259.72258578677</v>
      </c>
      <c r="H105">
        <f t="shared" si="2"/>
        <v>188561</v>
      </c>
      <c r="I105">
        <f t="shared" si="3"/>
        <v>0.55292304657796032</v>
      </c>
      <c r="L105"/>
    </row>
    <row r="106" spans="5:12">
      <c r="E106" s="3">
        <v>81</v>
      </c>
      <c r="F106" s="3">
        <v>98830.906962338748</v>
      </c>
      <c r="G106" s="3">
        <v>65048.093037661252</v>
      </c>
      <c r="H106">
        <f t="shared" si="2"/>
        <v>163879</v>
      </c>
      <c r="I106">
        <f t="shared" si="3"/>
        <v>0.39692756874072488</v>
      </c>
      <c r="L106"/>
    </row>
    <row r="107" spans="5:12">
      <c r="E107" s="3">
        <v>82</v>
      </c>
      <c r="F107" s="3">
        <v>72521.674903824518</v>
      </c>
      <c r="G107" s="3">
        <v>-6515.674903824518</v>
      </c>
      <c r="H107">
        <f t="shared" si="2"/>
        <v>66006</v>
      </c>
      <c r="I107">
        <f t="shared" si="3"/>
        <v>9.8713373084636513E-2</v>
      </c>
      <c r="L107"/>
    </row>
    <row r="108" spans="5:12">
      <c r="E108" s="3">
        <v>83</v>
      </c>
      <c r="F108" s="3">
        <v>188237.6644600142</v>
      </c>
      <c r="G108" s="3">
        <v>-25665.664460014203</v>
      </c>
      <c r="H108">
        <f t="shared" si="2"/>
        <v>162572</v>
      </c>
      <c r="I108">
        <f t="shared" si="3"/>
        <v>0.1578726008169562</v>
      </c>
      <c r="L108"/>
    </row>
    <row r="109" spans="5:12">
      <c r="E109" s="3">
        <v>84</v>
      </c>
      <c r="F109" s="3">
        <v>119258.64130077919</v>
      </c>
      <c r="G109" s="3">
        <v>-8785.6413007791853</v>
      </c>
      <c r="H109">
        <f t="shared" si="2"/>
        <v>110473</v>
      </c>
      <c r="I109">
        <f t="shared" si="3"/>
        <v>7.9527498128766166E-2</v>
      </c>
      <c r="L109"/>
    </row>
    <row r="110" spans="5:12" ht="17" thickBot="1">
      <c r="E110" s="4">
        <v>85</v>
      </c>
      <c r="F110" s="4">
        <v>77790.267937812809</v>
      </c>
      <c r="G110" s="4">
        <v>-20848.267937812809</v>
      </c>
      <c r="H110">
        <f t="shared" si="2"/>
        <v>56942</v>
      </c>
      <c r="I110">
        <f t="shared" si="3"/>
        <v>0.36613164163206086</v>
      </c>
      <c r="L110"/>
    </row>
  </sheetData>
  <mergeCells count="8">
    <mergeCell ref="E1:H1"/>
    <mergeCell ref="O25:S27"/>
    <mergeCell ref="O28:S33"/>
    <mergeCell ref="H10:L10"/>
    <mergeCell ref="H20:L20"/>
    <mergeCell ref="N17:Q23"/>
    <mergeCell ref="L25:N25"/>
    <mergeCell ref="H6:J8"/>
  </mergeCells>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4C2B3-C105-8644-A72A-3D5E8947A18E}">
  <dimension ref="A1:J16"/>
  <sheetViews>
    <sheetView zoomScale="150" workbookViewId="0">
      <selection activeCell="A8" sqref="A8:H11"/>
    </sheetView>
  </sheetViews>
  <sheetFormatPr baseColWidth="10" defaultRowHeight="16"/>
  <cols>
    <col min="8" max="8" width="20.33203125" customWidth="1"/>
  </cols>
  <sheetData>
    <row r="1" spans="1:10" s="48" customFormat="1" ht="55" customHeight="1" thickBot="1">
      <c r="A1" s="92" t="s">
        <v>133</v>
      </c>
      <c r="B1" s="93"/>
      <c r="C1" s="93"/>
      <c r="D1" s="93"/>
      <c r="E1" s="93"/>
      <c r="F1" s="93"/>
      <c r="G1" s="93"/>
      <c r="H1" s="94"/>
      <c r="I1" s="47"/>
      <c r="J1" s="47"/>
    </row>
    <row r="2" spans="1:10">
      <c r="A2" s="83" t="s">
        <v>131</v>
      </c>
      <c r="B2" s="84"/>
      <c r="C2" s="84"/>
      <c r="D2" s="84"/>
      <c r="E2" s="84"/>
      <c r="F2" s="84"/>
      <c r="G2" s="84"/>
      <c r="H2" s="85"/>
      <c r="I2" s="46"/>
      <c r="J2" s="46"/>
    </row>
    <row r="3" spans="1:10">
      <c r="A3" s="86"/>
      <c r="B3" s="87"/>
      <c r="C3" s="87"/>
      <c r="D3" s="87"/>
      <c r="E3" s="87"/>
      <c r="F3" s="87"/>
      <c r="G3" s="87"/>
      <c r="H3" s="88"/>
      <c r="I3" s="46"/>
      <c r="J3" s="46"/>
    </row>
    <row r="4" spans="1:10">
      <c r="A4" s="86"/>
      <c r="B4" s="87"/>
      <c r="C4" s="87"/>
      <c r="D4" s="87"/>
      <c r="E4" s="87"/>
      <c r="F4" s="87"/>
      <c r="G4" s="87"/>
      <c r="H4" s="88"/>
      <c r="I4" s="46"/>
      <c r="J4" s="46"/>
    </row>
    <row r="5" spans="1:10">
      <c r="A5" s="86"/>
      <c r="B5" s="87"/>
      <c r="C5" s="87"/>
      <c r="D5" s="87"/>
      <c r="E5" s="87"/>
      <c r="F5" s="87"/>
      <c r="G5" s="87"/>
      <c r="H5" s="88"/>
      <c r="I5" s="46"/>
      <c r="J5" s="46"/>
    </row>
    <row r="6" spans="1:10" ht="104" customHeight="1">
      <c r="A6" s="86"/>
      <c r="B6" s="87"/>
      <c r="C6" s="87"/>
      <c r="D6" s="87"/>
      <c r="E6" s="87"/>
      <c r="F6" s="87"/>
      <c r="G6" s="87"/>
      <c r="H6" s="88"/>
      <c r="I6" s="46"/>
      <c r="J6" s="46"/>
    </row>
    <row r="7" spans="1:10" ht="17" thickBot="1">
      <c r="A7" s="89"/>
      <c r="B7" s="90"/>
      <c r="C7" s="90"/>
      <c r="D7" s="90"/>
      <c r="E7" s="90"/>
      <c r="F7" s="90"/>
      <c r="G7" s="90"/>
      <c r="H7" s="91"/>
      <c r="I7" s="46"/>
      <c r="J7" s="46"/>
    </row>
    <row r="8" spans="1:10" ht="60" customHeight="1">
      <c r="A8" s="83" t="s">
        <v>132</v>
      </c>
      <c r="B8" s="84"/>
      <c r="C8" s="84"/>
      <c r="D8" s="84"/>
      <c r="E8" s="84"/>
      <c r="F8" s="84"/>
      <c r="G8" s="84"/>
      <c r="H8" s="85"/>
      <c r="I8" s="46"/>
      <c r="J8" s="46"/>
    </row>
    <row r="9" spans="1:10" ht="16" customHeight="1">
      <c r="A9" s="86"/>
      <c r="B9" s="87"/>
      <c r="C9" s="87"/>
      <c r="D9" s="87"/>
      <c r="E9" s="87"/>
      <c r="F9" s="87"/>
      <c r="G9" s="87"/>
      <c r="H9" s="88"/>
      <c r="I9" s="46"/>
      <c r="J9" s="46"/>
    </row>
    <row r="10" spans="1:10" ht="64" customHeight="1">
      <c r="A10" s="86"/>
      <c r="B10" s="87"/>
      <c r="C10" s="87"/>
      <c r="D10" s="87"/>
      <c r="E10" s="87"/>
      <c r="F10" s="87"/>
      <c r="G10" s="87"/>
      <c r="H10" s="88"/>
      <c r="I10" s="46"/>
      <c r="J10" s="46"/>
    </row>
    <row r="11" spans="1:10" ht="17" thickBot="1">
      <c r="A11" s="89"/>
      <c r="B11" s="90"/>
      <c r="C11" s="90"/>
      <c r="D11" s="90"/>
      <c r="E11" s="90"/>
      <c r="F11" s="90"/>
      <c r="G11" s="90"/>
      <c r="H11" s="91"/>
      <c r="I11" s="46"/>
      <c r="J11" s="46"/>
    </row>
    <row r="12" spans="1:10" ht="16" customHeight="1">
      <c r="A12" s="50"/>
      <c r="B12" s="50"/>
      <c r="C12" s="50"/>
      <c r="D12" s="50"/>
      <c r="E12" s="50"/>
      <c r="F12" s="50"/>
      <c r="G12" s="50"/>
      <c r="H12" s="50"/>
      <c r="I12" s="46"/>
      <c r="J12" s="46"/>
    </row>
    <row r="13" spans="1:10">
      <c r="A13" s="50"/>
      <c r="B13" s="50"/>
      <c r="C13" s="50"/>
      <c r="D13" s="50"/>
      <c r="E13" s="50"/>
      <c r="F13" s="50"/>
      <c r="G13" s="50"/>
      <c r="H13" s="50"/>
      <c r="I13" s="46"/>
      <c r="J13" s="46"/>
    </row>
    <row r="14" spans="1:10">
      <c r="A14" s="46"/>
      <c r="B14" s="46"/>
      <c r="C14" s="46"/>
      <c r="D14" s="46"/>
      <c r="E14" s="46"/>
      <c r="F14" s="46"/>
      <c r="G14" s="46"/>
      <c r="H14" s="46"/>
      <c r="I14" s="46"/>
      <c r="J14" s="46"/>
    </row>
    <row r="15" spans="1:10">
      <c r="I15" s="46"/>
      <c r="J15" s="46"/>
    </row>
    <row r="16" spans="1:10">
      <c r="I16" s="46"/>
      <c r="J16" s="46"/>
    </row>
  </sheetData>
  <mergeCells count="3">
    <mergeCell ref="A2:H7"/>
    <mergeCell ref="A1:H1"/>
    <mergeCell ref="A8:H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2</vt:i4>
      </vt:variant>
    </vt:vector>
  </HeadingPairs>
  <TitlesOfParts>
    <vt:vector size="2" baseType="lpstr">
      <vt:lpstr>Регрессионный анализ</vt:lpstr>
      <vt:lpstr>Выводы</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Office User</cp:lastModifiedBy>
  <dcterms:created xsi:type="dcterms:W3CDTF">2026-09-23T17:41:12Z</dcterms:created>
  <dcterms:modified xsi:type="dcterms:W3CDTF">2026-10-25T20:10:58Z</dcterms:modified>
  <cp:category/>
</cp:coreProperties>
</file>